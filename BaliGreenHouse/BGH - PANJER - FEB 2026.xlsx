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ales" sheetId="1" r:id="rId4"/>
    <sheet state="visible" name="Master" sheetId="2" r:id="rId5"/>
    <sheet state="visible" name="Sales Summary" sheetId="3" r:id="rId6"/>
    <sheet state="visible" name="Stock" sheetId="4" r:id="rId7"/>
    <sheet state="visible" name="InOut Inv" sheetId="5" r:id="rId8"/>
    <sheet state="visible" name="Incoming" sheetId="6" r:id="rId9"/>
    <sheet state="visible" name="PettyCash" sheetId="7" r:id="rId10"/>
    <sheet state="visible" name="Save Margin" sheetId="8" r:id="rId11"/>
    <sheet state="visible" name="Bank" sheetId="9" r:id="rId12"/>
    <sheet state="visible" name="Order" sheetId="10" r:id="rId13"/>
  </sheets>
  <definedNames>
    <definedName hidden="1" localSheetId="1" name="_xlnm._FilterDatabase">Master!$A$4:$AC$4</definedName>
  </definedNames>
  <calcPr/>
  <extLst>
    <ext uri="GoogleSheetsCustomDataVersion2">
      <go:sheetsCustomData xmlns:go="http://customooxmlschemas.google.com/" r:id="rId14" roundtripDataChecksum="lC/yrPZmY95iCj1zPxI3XfGWfP1oelXdONsQ6tJtlOg="/>
    </ext>
  </extLst>
</workbook>
</file>

<file path=xl/sharedStrings.xml><?xml version="1.0" encoding="utf-8"?>
<sst xmlns="http://schemas.openxmlformats.org/spreadsheetml/2006/main" count="5582" uniqueCount="1345">
  <si>
    <t>DAILY SALES - FEBRUARI 2026</t>
  </si>
  <si>
    <t>Date</t>
  </si>
  <si>
    <t>Time</t>
  </si>
  <si>
    <t>Cust</t>
  </si>
  <si>
    <t>Code</t>
  </si>
  <si>
    <t>S</t>
  </si>
  <si>
    <t>P</t>
  </si>
  <si>
    <t>Item Descriptions</t>
  </si>
  <si>
    <t>Qty</t>
  </si>
  <si>
    <t>Price</t>
  </si>
  <si>
    <t>Discount</t>
  </si>
  <si>
    <t>Total</t>
  </si>
  <si>
    <t>Cogs</t>
  </si>
  <si>
    <t>Margin</t>
  </si>
  <si>
    <t>Payment</t>
  </si>
  <si>
    <t>Margin%</t>
  </si>
  <si>
    <t>01/02/26</t>
  </si>
  <si>
    <t>10:29:00</t>
  </si>
  <si>
    <t>PK5043</t>
  </si>
  <si>
    <t>C</t>
  </si>
  <si>
    <t>PL3182</t>
  </si>
  <si>
    <t>11:00:00</t>
  </si>
  <si>
    <t>MT2037</t>
  </si>
  <si>
    <t>I</t>
  </si>
  <si>
    <t>11:53:00</t>
  </si>
  <si>
    <t>PK5041</t>
  </si>
  <si>
    <t>12:07:00</t>
  </si>
  <si>
    <t>PK5069</t>
  </si>
  <si>
    <t>O</t>
  </si>
  <si>
    <t>PL3028</t>
  </si>
  <si>
    <t>PL3115</t>
  </si>
  <si>
    <t>PL3117</t>
  </si>
  <si>
    <t>12:24:00</t>
  </si>
  <si>
    <t>PL3040</t>
  </si>
  <si>
    <t>MT2053</t>
  </si>
  <si>
    <t>PL3113</t>
  </si>
  <si>
    <t>12:48:00</t>
  </si>
  <si>
    <t>MT2050</t>
  </si>
  <si>
    <t>13:32:00</t>
  </si>
  <si>
    <t>PL3066</t>
  </si>
  <si>
    <t>PL3068</t>
  </si>
  <si>
    <t>14:15:00</t>
  </si>
  <si>
    <t>PL3042</t>
  </si>
  <si>
    <t>PL3044</t>
  </si>
  <si>
    <t>15:49:00</t>
  </si>
  <si>
    <t>MT2008</t>
  </si>
  <si>
    <t>MT2044</t>
  </si>
  <si>
    <t>16:56:00</t>
  </si>
  <si>
    <t>17:35:00</t>
  </si>
  <si>
    <t>02/02/26</t>
  </si>
  <si>
    <t>08:34:00</t>
  </si>
  <si>
    <t>PK5011</t>
  </si>
  <si>
    <t>10:00:00</t>
  </si>
  <si>
    <t>PL3089</t>
  </si>
  <si>
    <t>PL3090</t>
  </si>
  <si>
    <t>10:24:00</t>
  </si>
  <si>
    <t>PK5064</t>
  </si>
  <si>
    <t>12:54:00</t>
  </si>
  <si>
    <t>MT2041</t>
  </si>
  <si>
    <t>PK5068</t>
  </si>
  <si>
    <t>PK5066</t>
  </si>
  <si>
    <t>16:08:00</t>
  </si>
  <si>
    <t>17:22:00</t>
  </si>
  <si>
    <t>18:40:00</t>
  </si>
  <si>
    <t>03/02/26</t>
  </si>
  <si>
    <t>10:38:00</t>
  </si>
  <si>
    <t>PL3038</t>
  </si>
  <si>
    <t>MT2009</t>
  </si>
  <si>
    <t>10:40:00</t>
  </si>
  <si>
    <t>MT2018</t>
  </si>
  <si>
    <t>KABEL TIS</t>
  </si>
  <si>
    <t>11:43:00</t>
  </si>
  <si>
    <t>12:12:00</t>
  </si>
  <si>
    <t>PK5072</t>
  </si>
  <si>
    <t>PL3026</t>
  </si>
  <si>
    <t>14:59:00</t>
  </si>
  <si>
    <t>15:08:00</t>
  </si>
  <si>
    <t>T</t>
  </si>
  <si>
    <t>MT2003</t>
  </si>
  <si>
    <t>15:47:00</t>
  </si>
  <si>
    <t>17:20:00</t>
  </si>
  <si>
    <t>18:35:00</t>
  </si>
  <si>
    <t>PS4013</t>
  </si>
  <si>
    <t>04/02/26</t>
  </si>
  <si>
    <t>08:15:00</t>
  </si>
  <si>
    <t>PS4009</t>
  </si>
  <si>
    <t>10:53:00</t>
  </si>
  <si>
    <t>PK5052</t>
  </si>
  <si>
    <t>11:14:00</t>
  </si>
  <si>
    <t>PL3079</t>
  </si>
  <si>
    <t>PK5067</t>
  </si>
  <si>
    <t>PK5048</t>
  </si>
  <si>
    <t>14:42:00</t>
  </si>
  <si>
    <t>15:52:00</t>
  </si>
  <si>
    <t>MT2039</t>
  </si>
  <si>
    <t>16:38:00</t>
  </si>
  <si>
    <t>PL3073</t>
  </si>
  <si>
    <t>PL3164</t>
  </si>
  <si>
    <t>16:55:00</t>
  </si>
  <si>
    <t>17:29:00</t>
  </si>
  <si>
    <t>MT2052</t>
  </si>
  <si>
    <t>17:41:00</t>
  </si>
  <si>
    <t>PS4011</t>
  </si>
  <si>
    <t>05/02/26</t>
  </si>
  <si>
    <t>10:03:00</t>
  </si>
  <si>
    <t>10:25:00</t>
  </si>
  <si>
    <t>PL3063</t>
  </si>
  <si>
    <t>10:27:00</t>
  </si>
  <si>
    <t>PK5037</t>
  </si>
  <si>
    <t>PK5013</t>
  </si>
  <si>
    <t>14:27:00</t>
  </si>
  <si>
    <t>14:28:00</t>
  </si>
  <si>
    <t>PK5012</t>
  </si>
  <si>
    <t>16:05:00</t>
  </si>
  <si>
    <t>17:17:00</t>
  </si>
  <si>
    <t>MT2022</t>
  </si>
  <si>
    <t>17:26:00</t>
  </si>
  <si>
    <t>17:33:00</t>
  </si>
  <si>
    <t>06/02/26</t>
  </si>
  <si>
    <t>10:28:00</t>
  </si>
  <si>
    <t>11:23:00</t>
  </si>
  <si>
    <t>PS4008</t>
  </si>
  <si>
    <t>PL3032</t>
  </si>
  <si>
    <t>13:11:00</t>
  </si>
  <si>
    <t>14:26:00</t>
  </si>
  <si>
    <t>15:39:00</t>
  </si>
  <si>
    <t>15:42:00</t>
  </si>
  <si>
    <t>15:44:00</t>
  </si>
  <si>
    <t>15:45:00</t>
  </si>
  <si>
    <t>PK5038</t>
  </si>
  <si>
    <t>16:36:00</t>
  </si>
  <si>
    <t>18:14:00</t>
  </si>
  <si>
    <t>PL3085</t>
  </si>
  <si>
    <t>07/02/26</t>
  </si>
  <si>
    <t>11:40:00</t>
  </si>
  <si>
    <t>11:41:00</t>
  </si>
  <si>
    <t>13:47:00</t>
  </si>
  <si>
    <t>MT2020</t>
  </si>
  <si>
    <t>MT2042</t>
  </si>
  <si>
    <t>13:48:00</t>
  </si>
  <si>
    <t>MT2031</t>
  </si>
  <si>
    <t>PL3138</t>
  </si>
  <si>
    <t>PL3139</t>
  </si>
  <si>
    <t>PK5074</t>
  </si>
  <si>
    <t>14:01:00</t>
  </si>
  <si>
    <t>14:38:00</t>
  </si>
  <si>
    <t>15:16:00</t>
  </si>
  <si>
    <t>16:32:00</t>
  </si>
  <si>
    <t>PS4006</t>
  </si>
  <si>
    <t>PL3165</t>
  </si>
  <si>
    <t>16:34:00</t>
  </si>
  <si>
    <t>PL3022</t>
  </si>
  <si>
    <t>17:52:00</t>
  </si>
  <si>
    <t>08/02/26</t>
  </si>
  <si>
    <t>09:25:00</t>
  </si>
  <si>
    <t>09:36:00</t>
  </si>
  <si>
    <t>10:14:00</t>
  </si>
  <si>
    <t>PL3157</t>
  </si>
  <si>
    <t>10:18:00</t>
  </si>
  <si>
    <t>11:56:00</t>
  </si>
  <si>
    <t>13:00:00</t>
  </si>
  <si>
    <t>13:15:00</t>
  </si>
  <si>
    <t>13:29:00</t>
  </si>
  <si>
    <t>PL3008</t>
  </si>
  <si>
    <t>14:22:00</t>
  </si>
  <si>
    <t>PK5071</t>
  </si>
  <si>
    <t>15:30:00</t>
  </si>
  <si>
    <t>PS4019</t>
  </si>
  <si>
    <t>16:00:00</t>
  </si>
  <si>
    <t>MT2035</t>
  </si>
  <si>
    <t>PL3010</t>
  </si>
  <si>
    <t>OK1003</t>
  </si>
  <si>
    <t>09/02/26</t>
  </si>
  <si>
    <t>09:53:00</t>
  </si>
  <si>
    <t>PK5010</t>
  </si>
  <si>
    <t>MT2046</t>
  </si>
  <si>
    <t>10:49:00</t>
  </si>
  <si>
    <t>PL3069</t>
  </si>
  <si>
    <t>11:15:00</t>
  </si>
  <si>
    <t>13:55:00</t>
  </si>
  <si>
    <t>PS4029</t>
  </si>
  <si>
    <t>PL3109</t>
  </si>
  <si>
    <t>14:02:00</t>
  </si>
  <si>
    <t>PL3046</t>
  </si>
  <si>
    <t>14:49:00</t>
  </si>
  <si>
    <t>10/02/26</t>
  </si>
  <si>
    <t>PL3158</t>
  </si>
  <si>
    <t>10:39:00</t>
  </si>
  <si>
    <t>11:07:00</t>
  </si>
  <si>
    <t>PL3163</t>
  </si>
  <si>
    <t>11:37:00</t>
  </si>
  <si>
    <t>PL3067</t>
  </si>
  <si>
    <t>13:18:00</t>
  </si>
  <si>
    <t>PK5026</t>
  </si>
  <si>
    <t>13:42:00</t>
  </si>
  <si>
    <t>PK5054</t>
  </si>
  <si>
    <t>14:55:00</t>
  </si>
  <si>
    <t>15:48:00</t>
  </si>
  <si>
    <t>PL3179</t>
  </si>
  <si>
    <t>PL3119</t>
  </si>
  <si>
    <t>16:39:00</t>
  </si>
  <si>
    <t>PS4020</t>
  </si>
  <si>
    <t>17:19:00</t>
  </si>
  <si>
    <t>11/02/26</t>
  </si>
  <si>
    <t>09:40:00</t>
  </si>
  <si>
    <t>10:45:00</t>
  </si>
  <si>
    <t>14:33:00</t>
  </si>
  <si>
    <t>15:59:00</t>
  </si>
  <si>
    <t>PK5016</t>
  </si>
  <si>
    <t>16:23:00</t>
  </si>
  <si>
    <t>PL3094</t>
  </si>
  <si>
    <t>16:26:00</t>
  </si>
  <si>
    <t>PL3045</t>
  </si>
  <si>
    <t>PK5070</t>
  </si>
  <si>
    <t>17:37:00</t>
  </si>
  <si>
    <t>MT2040</t>
  </si>
  <si>
    <t>12/02/26</t>
  </si>
  <si>
    <t>09:41:00</t>
  </si>
  <si>
    <t>10:58:00</t>
  </si>
  <si>
    <t>11:02:00</t>
  </si>
  <si>
    <t>MT2024</t>
  </si>
  <si>
    <t>11:10:00</t>
  </si>
  <si>
    <t>11:21:00</t>
  </si>
  <si>
    <t>PL3050</t>
  </si>
  <si>
    <t>11:52:00</t>
  </si>
  <si>
    <t>PK5049</t>
  </si>
  <si>
    <t>13:59:00</t>
  </si>
  <si>
    <t>14:36:00</t>
  </si>
  <si>
    <t>15:19:00</t>
  </si>
  <si>
    <t>15:32:00</t>
  </si>
  <si>
    <t>17:56:00</t>
  </si>
  <si>
    <t>13/02/26</t>
  </si>
  <si>
    <t>PL3160</t>
  </si>
  <si>
    <t>11:51:00</t>
  </si>
  <si>
    <t>PL3070</t>
  </si>
  <si>
    <t>PL3198</t>
  </si>
  <si>
    <t>PL3150</t>
  </si>
  <si>
    <t>14:05:00</t>
  </si>
  <si>
    <t>14:52:00</t>
  </si>
  <si>
    <t>14:53:00</t>
  </si>
  <si>
    <t>14:54:00</t>
  </si>
  <si>
    <t>PK5028</t>
  </si>
  <si>
    <t>15:23:00</t>
  </si>
  <si>
    <t>MT2012</t>
  </si>
  <si>
    <t>15:37:00</t>
  </si>
  <si>
    <t>16:03:00</t>
  </si>
  <si>
    <t>16:43:00</t>
  </si>
  <si>
    <t>15:35:00</t>
  </si>
  <si>
    <t>PK5032</t>
  </si>
  <si>
    <t>18:52:00</t>
  </si>
  <si>
    <t>PL3037</t>
  </si>
  <si>
    <t>14/02/26</t>
  </si>
  <si>
    <t>13:57:00</t>
  </si>
  <si>
    <t>PK5047</t>
  </si>
  <si>
    <t>17:08:00</t>
  </si>
  <si>
    <t>15/02/26</t>
  </si>
  <si>
    <t>07:00:00</t>
  </si>
  <si>
    <t>16/02/26</t>
  </si>
  <si>
    <t>15:50:00</t>
  </si>
  <si>
    <t>PK5022</t>
  </si>
  <si>
    <t>18/02/26</t>
  </si>
  <si>
    <t>10:52:00</t>
  </si>
  <si>
    <t>11:32:00</t>
  </si>
  <si>
    <t>12:50:00</t>
  </si>
  <si>
    <t>14:51:00</t>
  </si>
  <si>
    <t>PL3030</t>
  </si>
  <si>
    <t>17:05:00</t>
  </si>
  <si>
    <t>PK5057</t>
  </si>
  <si>
    <t>19/02/26</t>
  </si>
  <si>
    <t>10:33:00</t>
  </si>
  <si>
    <t>11:48:00</t>
  </si>
  <si>
    <t>11:49:00</t>
  </si>
  <si>
    <t>MT2045</t>
  </si>
  <si>
    <t>14:37:00</t>
  </si>
  <si>
    <t>15:03:00</t>
  </si>
  <si>
    <t>PL3098</t>
  </si>
  <si>
    <t>17:31:00</t>
  </si>
  <si>
    <t>PL3009</t>
  </si>
  <si>
    <t>20/02/26</t>
  </si>
  <si>
    <t>10:37:00</t>
  </si>
  <si>
    <t>11:27:00</t>
  </si>
  <si>
    <t>14:47:00</t>
  </si>
  <si>
    <t>15:13:00</t>
  </si>
  <si>
    <t>16:27:00</t>
  </si>
  <si>
    <t>PK5017</t>
  </si>
  <si>
    <t>17:03:00</t>
  </si>
  <si>
    <t>PL3101</t>
  </si>
  <si>
    <t>21/02/26</t>
  </si>
  <si>
    <t>08:38:00</t>
  </si>
  <si>
    <t>PS4025</t>
  </si>
  <si>
    <t>15:58:00</t>
  </si>
  <si>
    <t>19:11:00</t>
  </si>
  <si>
    <t>22/02/26</t>
  </si>
  <si>
    <t>13:24:00</t>
  </si>
  <si>
    <t>16:01:00</t>
  </si>
  <si>
    <t>PL3111</t>
  </si>
  <si>
    <t>PL3159</t>
  </si>
  <si>
    <t>PL3088</t>
  </si>
  <si>
    <t>16:04:00</t>
  </si>
  <si>
    <t>16:42:00</t>
  </si>
  <si>
    <t>23/02/26</t>
  </si>
  <si>
    <t>10:56:00</t>
  </si>
  <si>
    <t>14:43:00</t>
  </si>
  <si>
    <t>MT2026</t>
  </si>
  <si>
    <t>15:15:00</t>
  </si>
  <si>
    <t>15:20:00</t>
  </si>
  <si>
    <t>15:55:00</t>
  </si>
  <si>
    <t>PL3086</t>
  </si>
  <si>
    <t>PL3103</t>
  </si>
  <si>
    <t>17:43:00</t>
  </si>
  <si>
    <t>24/02/26</t>
  </si>
  <si>
    <t>13:01:00</t>
  </si>
  <si>
    <t>MT2033</t>
  </si>
  <si>
    <t>25/02/26</t>
  </si>
  <si>
    <t>10:23:00</t>
  </si>
  <si>
    <t>12:20:00</t>
  </si>
  <si>
    <t>12:21:00</t>
  </si>
  <si>
    <t>PL3151</t>
  </si>
  <si>
    <t>16:40:00</t>
  </si>
  <si>
    <t>17:10:00</t>
  </si>
  <si>
    <t>18:00:00</t>
  </si>
  <si>
    <t>26/02/26</t>
  </si>
  <si>
    <t>10:12:00</t>
  </si>
  <si>
    <t>10:13:00</t>
  </si>
  <si>
    <t>PL3054</t>
  </si>
  <si>
    <t>16:50:00</t>
  </si>
  <si>
    <t>18:42:00</t>
  </si>
  <si>
    <t>19:03:00</t>
  </si>
  <si>
    <t>27/02/26</t>
  </si>
  <si>
    <t>10:31:00</t>
  </si>
  <si>
    <t>11:11:00</t>
  </si>
  <si>
    <t>MT2001</t>
  </si>
  <si>
    <t>PL3128</t>
  </si>
  <si>
    <t>PL3092</t>
  </si>
  <si>
    <t>11:47:00</t>
  </si>
  <si>
    <t>13:40:00</t>
  </si>
  <si>
    <t>13:53:00</t>
  </si>
  <si>
    <t>16:18:00</t>
  </si>
  <si>
    <t>PL3099</t>
  </si>
  <si>
    <t>16:35:00</t>
  </si>
  <si>
    <t>17:39:00</t>
  </si>
  <si>
    <t>PK5004</t>
  </si>
  <si>
    <t>18:27:00</t>
  </si>
  <si>
    <t>18:30:00</t>
  </si>
  <si>
    <t>28/02/26</t>
  </si>
  <si>
    <t>09:32:00</t>
  </si>
  <si>
    <t>10:09:00</t>
  </si>
  <si>
    <t>10:26:00</t>
  </si>
  <si>
    <t>MT2011</t>
  </si>
  <si>
    <t>14:04:00</t>
  </si>
  <si>
    <t>PL3071</t>
  </si>
  <si>
    <t>PL3105</t>
  </si>
  <si>
    <t>14:50:00</t>
  </si>
  <si>
    <t>1</t>
  </si>
  <si>
    <t>MT2047</t>
  </si>
  <si>
    <t>PL3170</t>
  </si>
  <si>
    <t>16:21:00</t>
  </si>
  <si>
    <t>16:45:00</t>
  </si>
  <si>
    <t>CODE</t>
  </si>
  <si>
    <t>COUNTER</t>
  </si>
  <si>
    <t>BARCODE</t>
  </si>
  <si>
    <t>CATEGORY</t>
  </si>
  <si>
    <t>SUB CATEGORY</t>
  </si>
  <si>
    <t>ITEM DESCRIPTIONS</t>
  </si>
  <si>
    <t>NOTES</t>
  </si>
  <si>
    <t>COGS</t>
  </si>
  <si>
    <t>SELL PRICE</t>
  </si>
  <si>
    <t>MARGIN</t>
  </si>
  <si>
    <t>MARGIN VAL</t>
  </si>
  <si>
    <t>VENDOR</t>
  </si>
  <si>
    <t>01/12/24</t>
  </si>
  <si>
    <t>HJ</t>
  </si>
  <si>
    <t>02/12/24</t>
  </si>
  <si>
    <t>03/11/24</t>
  </si>
  <si>
    <t>04/11/24</t>
  </si>
  <si>
    <t>05/11/24</t>
  </si>
  <si>
    <t>06/11/24</t>
  </si>
  <si>
    <t>OK</t>
  </si>
  <si>
    <t>OK1001</t>
  </si>
  <si>
    <t>LAIN LAIN</t>
  </si>
  <si>
    <t>ETHREL 100ML</t>
  </si>
  <si>
    <t>SHOPEE</t>
  </si>
  <si>
    <t>OK1002</t>
  </si>
  <si>
    <t>KARANG</t>
  </si>
  <si>
    <t>ONGKIR</t>
  </si>
  <si>
    <t>MT</t>
  </si>
  <si>
    <t>MEDIA TANAM</t>
  </si>
  <si>
    <t>ANDAM</t>
  </si>
  <si>
    <t>MT2002</t>
  </si>
  <si>
    <t>ANDAM 25KG</t>
  </si>
  <si>
    <t>ARANG 5KG</t>
  </si>
  <si>
    <t>MT2004</t>
  </si>
  <si>
    <t>COCO FIBER</t>
  </si>
  <si>
    <t>BINTANG TANI</t>
  </si>
  <si>
    <t>MT2005</t>
  </si>
  <si>
    <t>COCOPEAT BLOCK MINI</t>
  </si>
  <si>
    <t>MT2006</t>
  </si>
  <si>
    <t>COCOPEAT FERMENTASI 10KG</t>
  </si>
  <si>
    <t>VENDOR OTHER</t>
  </si>
  <si>
    <t>MT2007</t>
  </si>
  <si>
    <t>COCOPEAT FERMENTASI 5KG</t>
  </si>
  <si>
    <t>COCOPEAT NON FERMENTASI 10KG</t>
  </si>
  <si>
    <t>COCOPEAT NON FERMENTASI 5KG</t>
  </si>
  <si>
    <t>MT2010</t>
  </si>
  <si>
    <t>DAUN BAMBU</t>
  </si>
  <si>
    <t>HUMUS BAMBU</t>
  </si>
  <si>
    <t>HUMUS BAMBU 25KG</t>
  </si>
  <si>
    <t>GENTA</t>
  </si>
  <si>
    <t>MT2013</t>
  </si>
  <si>
    <t>HYDROTON 1KG</t>
  </si>
  <si>
    <t>MT2014</t>
  </si>
  <si>
    <t>HYDROTON 500GR</t>
  </si>
  <si>
    <t>MT2015</t>
  </si>
  <si>
    <t>MEDIA AROID MIX</t>
  </si>
  <si>
    <t>MT2016</t>
  </si>
  <si>
    <t>MOSS HITAM 1 KAMPIL</t>
  </si>
  <si>
    <t>MT2017</t>
  </si>
  <si>
    <t>MOSS HITAM 10KG</t>
  </si>
  <si>
    <t>MOSS HITAM 5KG</t>
  </si>
  <si>
    <t>MT2019</t>
  </si>
  <si>
    <t>MOSS SPHAGNUM 200GR</t>
  </si>
  <si>
    <t>PAKIS CACAH</t>
  </si>
  <si>
    <t>MT2021</t>
  </si>
  <si>
    <t>PAPAN PAKIS</t>
  </si>
  <si>
    <t>PASIR MALANG 10KG</t>
  </si>
  <si>
    <t>MT2023</t>
  </si>
  <si>
    <t>PASIR MALANG 1KG</t>
  </si>
  <si>
    <t>PASIR MALANG 25KG</t>
  </si>
  <si>
    <t>MT2025</t>
  </si>
  <si>
    <t>PASIR MALANG HALUS</t>
  </si>
  <si>
    <t>PASIR MALANG KASAR 10KG</t>
  </si>
  <si>
    <t>MT2027</t>
  </si>
  <si>
    <t>PASIR MALANG MERAH KASAR</t>
  </si>
  <si>
    <t>MT2028</t>
  </si>
  <si>
    <t>PASIR MALANG MERAH PASIRAN 5KG</t>
  </si>
  <si>
    <t>MT2029</t>
  </si>
  <si>
    <t>PASIR MALANG MERAH SEDANG 5KG</t>
  </si>
  <si>
    <t>MT2030</t>
  </si>
  <si>
    <t>PERLITE</t>
  </si>
  <si>
    <t>PINE BARK</t>
  </si>
  <si>
    <t>MT2032</t>
  </si>
  <si>
    <t>PUMICE 1-2M PASIRAN /KG</t>
  </si>
  <si>
    <t>PUMICE 5-7M SEDANG /KG</t>
  </si>
  <si>
    <t>MT2034</t>
  </si>
  <si>
    <t>PUMICE/BATU APUNG</t>
  </si>
  <si>
    <t>PUPUK KAMBING BUTIRAN</t>
  </si>
  <si>
    <t>MT2036</t>
  </si>
  <si>
    <t>PUPUK KOMPOS 10KG</t>
  </si>
  <si>
    <t>PUPUK KOMPOS 5KG</t>
  </si>
  <si>
    <t>MT2038</t>
  </si>
  <si>
    <t>ROCK WALL 33CM</t>
  </si>
  <si>
    <t>TRIA GARDEN</t>
  </si>
  <si>
    <t>SEKAM BAKAR 10KG</t>
  </si>
  <si>
    <t>SEKAM BAKAR 25KG</t>
  </si>
  <si>
    <t>SEKAM BAKAR 5KG</t>
  </si>
  <si>
    <t>SEKAM FERMENTASI 10KG</t>
  </si>
  <si>
    <t>MT2043</t>
  </si>
  <si>
    <t>SEKAM FERMENTASI 5KG</t>
  </si>
  <si>
    <t>SEKAM MENTAH 10KG</t>
  </si>
  <si>
    <t>SEKAM MENTAH 25KG</t>
  </si>
  <si>
    <t>SEKAM MENTAH 5KG</t>
  </si>
  <si>
    <t>TANAH MURNI 10KG</t>
  </si>
  <si>
    <t>MT2048</t>
  </si>
  <si>
    <t>TANAH MURNI 1KG</t>
  </si>
  <si>
    <t>MT2049</t>
  </si>
  <si>
    <t>TANAH SUBUR 1/4</t>
  </si>
  <si>
    <t>TANAH SUBUR 10KG BINTANG TANI</t>
  </si>
  <si>
    <t>MT2051</t>
  </si>
  <si>
    <t>TANAH SUBUR 10KG SIMANTRI</t>
  </si>
  <si>
    <t>TANAH SUBUR 1KG BINTANG TANI</t>
  </si>
  <si>
    <t>TANAH SUBUR 25KG BINTANG TANI</t>
  </si>
  <si>
    <t>PL</t>
  </si>
  <si>
    <t>PL3001</t>
  </si>
  <si>
    <t>PERLENGKAPAN</t>
  </si>
  <si>
    <t>CATOK</t>
  </si>
  <si>
    <t>CATOK BONSAI IMPORT 21CM COKLAT</t>
  </si>
  <si>
    <t>PL3002</t>
  </si>
  <si>
    <t>CATOK BONSAI IMPORT 21CM MIRING</t>
  </si>
  <si>
    <t>PL3003</t>
  </si>
  <si>
    <t>GUNTING</t>
  </si>
  <si>
    <t>CATOK BONSAI IMPORT 21CM HIJAU</t>
  </si>
  <si>
    <t>PL3004</t>
  </si>
  <si>
    <t>CATOK BONSAI LOKAL 21CM</t>
  </si>
  <si>
    <t>PL3005</t>
  </si>
  <si>
    <t>GUNTING DAHAN/STEK FUKUDA</t>
  </si>
  <si>
    <t>PL3006</t>
  </si>
  <si>
    <t>GUNTING DAHAN/STEK MERAH/HIJAU</t>
  </si>
  <si>
    <t>PL3007</t>
  </si>
  <si>
    <t>GUNTING DAHAN/STEK PUTIH</t>
  </si>
  <si>
    <t>GUNTING DAHAN/STEK WIPRO</t>
  </si>
  <si>
    <t>GUNTING PRUNING HIJAU-KUNING 16CM</t>
  </si>
  <si>
    <t>GUNTING PRUNING HIJAU-KUNING 21CM NO. 2110</t>
  </si>
  <si>
    <t>PL3011</t>
  </si>
  <si>
    <t>GUNTING PRUNING IMPORT 12.5CM NO 4104</t>
  </si>
  <si>
    <t>PL3012</t>
  </si>
  <si>
    <t>GUNTING PRUNING IMPORT 15.3CM NO 4103</t>
  </si>
  <si>
    <t>PL3013</t>
  </si>
  <si>
    <t>GUNTING PRUNING IMPORT 17.5CM NO 4102</t>
  </si>
  <si>
    <t>PL3014</t>
  </si>
  <si>
    <t>GUNTING PRUNING IMPORT 19.5CM NO 4101</t>
  </si>
  <si>
    <t>PL3015</t>
  </si>
  <si>
    <t>GUNTING PRUNING IMPORT MELENGKUNG 12CM 3009-W</t>
  </si>
  <si>
    <t>PL3016</t>
  </si>
  <si>
    <t>GUNTING PRUNING LANCIP FURANO KUNING</t>
  </si>
  <si>
    <t>PL3017</t>
  </si>
  <si>
    <t>GUNTING PRUNING LANCIP MERAH 19CM</t>
  </si>
  <si>
    <t>PL3018</t>
  </si>
  <si>
    <t>GUNTING PRUNING LANCIP MERAH 21CM</t>
  </si>
  <si>
    <t>PL3019</t>
  </si>
  <si>
    <t>GUNTING PRUNING MERAH HITAM 21CM</t>
  </si>
  <si>
    <t>PL3020</t>
  </si>
  <si>
    <t>GUNTING RUMPUT GAGANG KAYU</t>
  </si>
  <si>
    <t>PL3021</t>
  </si>
  <si>
    <t>GUNTING RUMPUT GAGANG PLASTIK</t>
  </si>
  <si>
    <t>GUNTING STEK HITAM KUNING</t>
  </si>
  <si>
    <t>PL3023</t>
  </si>
  <si>
    <t>KAWAT</t>
  </si>
  <si>
    <t>KAWAT BONSAI COKELAT NO.2</t>
  </si>
  <si>
    <t>PL3024</t>
  </si>
  <si>
    <t>KAWAT BONSAI COKELAT NO.3</t>
  </si>
  <si>
    <t>PL3025</t>
  </si>
  <si>
    <t>KAWAT BONSAI HITAM NO.1</t>
  </si>
  <si>
    <t>KAWAT BONSAI HITAM NO.1 ECERAN</t>
  </si>
  <si>
    <t>PL3027</t>
  </si>
  <si>
    <t>KAWAT BONSAI HITAM NO.2</t>
  </si>
  <si>
    <t>KAWAT BONSAI HITAM NO.2 ECERAN</t>
  </si>
  <si>
    <t>PL3029</t>
  </si>
  <si>
    <t>KAWAT BONSAI HITAM NO.3</t>
  </si>
  <si>
    <t>KAWAT BONSAI HITAM NO.3 ECERAN</t>
  </si>
  <si>
    <t>PL3031</t>
  </si>
  <si>
    <t>KAWAT BONSAI HITAM NO.4</t>
  </si>
  <si>
    <t>KAWAT BONSAI HITAM NO.4 ECERAN</t>
  </si>
  <si>
    <t>PL3033</t>
  </si>
  <si>
    <t>KAWAT BONSAI HITAM NO.5</t>
  </si>
  <si>
    <t>PL3034</t>
  </si>
  <si>
    <t>KAWAT BONSAI HITAM NO.5 ECERAN</t>
  </si>
  <si>
    <t>PL3035</t>
  </si>
  <si>
    <t>KAWAT BONSAI HITAM NO.6</t>
  </si>
  <si>
    <t>PL3036</t>
  </si>
  <si>
    <t>KAWAT BONSAI HITAM NO.6 ECERAN</t>
  </si>
  <si>
    <t>KAWAT BONSAI SILVER NO.1</t>
  </si>
  <si>
    <t>KAWAT BONSAI SILVER NO.1 ECERAN</t>
  </si>
  <si>
    <t>PL3039</t>
  </si>
  <si>
    <t>KAWAT BONSAI SILVER NO.1.5</t>
  </si>
  <si>
    <t>KAWAT BONSAI SILVER NO.1.5 ECERAN</t>
  </si>
  <si>
    <t>PL3041</t>
  </si>
  <si>
    <t>KAWAT BONSAI SILVER NO.2</t>
  </si>
  <si>
    <t>KAWAT BONSAI SILVER NO.2 ECERAN</t>
  </si>
  <si>
    <t>PL3043</t>
  </si>
  <si>
    <t>KAWAT BONSAI SILVER NO.2.5</t>
  </si>
  <si>
    <t>KAWAT BONSAI SILVER NO.2.5 ECERAN</t>
  </si>
  <si>
    <t>KAWAT BONSAI SILVER NO.3</t>
  </si>
  <si>
    <t>KAWAT BONSAI SILVER NO.3 ECERAN</t>
  </si>
  <si>
    <t>PL3047</t>
  </si>
  <si>
    <t>KAWAT BONSAI SILVER NO.3.5</t>
  </si>
  <si>
    <t>PL3048</t>
  </si>
  <si>
    <t>KAWAT BONSAI SILVER NO.3.5 ECERAN</t>
  </si>
  <si>
    <t>PL3049</t>
  </si>
  <si>
    <t>KAWAT BONSAI SILVER NO.4</t>
  </si>
  <si>
    <t>KAWAT BONSAI SILVER NO.4 ECERAN</t>
  </si>
  <si>
    <t>PL3051</t>
  </si>
  <si>
    <t>KAWAT BONSAI SILVER NO.5</t>
  </si>
  <si>
    <t>PL3052</t>
  </si>
  <si>
    <t>KAWAT BONSAI SILVER NO.5 ECERAN</t>
  </si>
  <si>
    <t>PL3053</t>
  </si>
  <si>
    <t>KAWAT BONSAI SILVER NO.6</t>
  </si>
  <si>
    <t>KAWAT BONSAI SILVER NO.6 ECERAN</t>
  </si>
  <si>
    <t>PL3055</t>
  </si>
  <si>
    <t>PERLENGKAPAN LAIN</t>
  </si>
  <si>
    <t>AJIR 11X1500MM</t>
  </si>
  <si>
    <t>PL3056</t>
  </si>
  <si>
    <t>AJIR 8X1200MM</t>
  </si>
  <si>
    <t>PL3057</t>
  </si>
  <si>
    <t>AJIR 8X750MM</t>
  </si>
  <si>
    <t>PL3058</t>
  </si>
  <si>
    <t>AJIR 8X900MM</t>
  </si>
  <si>
    <t>PL3059</t>
  </si>
  <si>
    <t>BATU ALAM PUTIH 34</t>
  </si>
  <si>
    <t>PL3060</t>
  </si>
  <si>
    <t>BATU PUTIH BESAR</t>
  </si>
  <si>
    <t>PL3061</t>
  </si>
  <si>
    <t>BATU PUTIH KECIL</t>
  </si>
  <si>
    <t>PL3062</t>
  </si>
  <si>
    <t>BATU PUTIH KECIL 1/5</t>
  </si>
  <si>
    <t>BENANG EXTRA BESAR</t>
  </si>
  <si>
    <t>PL3064</t>
  </si>
  <si>
    <t>BENANG EXTRA KECIL</t>
  </si>
  <si>
    <t>PL3065</t>
  </si>
  <si>
    <t>BENANG JEAN KECIL HITAM 200Y</t>
  </si>
  <si>
    <t>SATRIA</t>
  </si>
  <si>
    <t>BIBIT BINTANG ASIA</t>
  </si>
  <si>
    <t>SAHABAT TANI</t>
  </si>
  <si>
    <t>BIBIT HITAM</t>
  </si>
  <si>
    <t>BIBIT PUTIH</t>
  </si>
  <si>
    <t>DC 25X25</t>
  </si>
  <si>
    <t>DC 33X33</t>
  </si>
  <si>
    <t>DC 50X50</t>
  </si>
  <si>
    <t>PL3072</t>
  </si>
  <si>
    <t>GARUK HITAM / GARPU</t>
  </si>
  <si>
    <t>GERGAJI BONSAI MINI</t>
  </si>
  <si>
    <t>PL3074</t>
  </si>
  <si>
    <t>KABEL TIES 3.5X250MM</t>
  </si>
  <si>
    <t>PL3075</t>
  </si>
  <si>
    <t>KAWAT GANTUNG POT 75CM</t>
  </si>
  <si>
    <t>PL3076</t>
  </si>
  <si>
    <t>KERANJANG PUPUK</t>
  </si>
  <si>
    <t>PL3077</t>
  </si>
  <si>
    <t>LIME SULFUR</t>
  </si>
  <si>
    <t>PL3078</t>
  </si>
  <si>
    <t>NAME TAG GANTUNG</t>
  </si>
  <si>
    <t>NAME TAG TANAMAN</t>
  </si>
  <si>
    <t>PL3080</t>
  </si>
  <si>
    <t>PARANET 75%</t>
  </si>
  <si>
    <t>PL3081</t>
  </si>
  <si>
    <t>PATIL BESI</t>
  </si>
  <si>
    <t>PL3082</t>
  </si>
  <si>
    <t>PATIL KAYU</t>
  </si>
  <si>
    <t>PL3083</t>
  </si>
  <si>
    <t>PEMBUNGKUS / COVER BUAH</t>
  </si>
  <si>
    <t>PL3084</t>
  </si>
  <si>
    <t>PLASTIK GRAFTING</t>
  </si>
  <si>
    <t>SALEP KAMBIUM 100ML</t>
  </si>
  <si>
    <t>SEKOP BESI KECIL HIJAU</t>
  </si>
  <si>
    <t>PL3087</t>
  </si>
  <si>
    <t>SEKOP BESI KECIL HITAM</t>
  </si>
  <si>
    <t>SEKOP PLASTIK HITAM</t>
  </si>
  <si>
    <t>SPRAYER 1LITER</t>
  </si>
  <si>
    <t>SPRAYER 2LITER</t>
  </si>
  <si>
    <t>PL3091</t>
  </si>
  <si>
    <t>SPRAYER JET SPRAY ASENA 1000ML</t>
  </si>
  <si>
    <t>SPRAYER JET SPRAY ASENA 500ML</t>
  </si>
  <si>
    <t>Pl</t>
  </si>
  <si>
    <t>Pl3093</t>
  </si>
  <si>
    <t>TRAI 128</t>
  </si>
  <si>
    <t>TRAI 32</t>
  </si>
  <si>
    <t>PL3095</t>
  </si>
  <si>
    <t>TRAI 50</t>
  </si>
  <si>
    <t>PL3096</t>
  </si>
  <si>
    <t>TREMER BONSAI</t>
  </si>
  <si>
    <t>PL3097</t>
  </si>
  <si>
    <t>TRICHODERMA 250GR</t>
  </si>
  <si>
    <t>TURUS 100CM</t>
  </si>
  <si>
    <t>TURUS 30CM</t>
  </si>
  <si>
    <t>PL3100</t>
  </si>
  <si>
    <t>POLYBAG</t>
  </si>
  <si>
    <t>COMPOST BAG 80L</t>
  </si>
  <si>
    <t>PLANTER BAG 28L</t>
  </si>
  <si>
    <t>PL3102</t>
  </si>
  <si>
    <t>PLANTER BAG 35L</t>
  </si>
  <si>
    <t>PLANTER BAG 50L</t>
  </si>
  <si>
    <t>PL3104</t>
  </si>
  <si>
    <t>PLANTER BAG 75L</t>
  </si>
  <si>
    <t>POLYBAG 12</t>
  </si>
  <si>
    <t>PL3106</t>
  </si>
  <si>
    <t>POLYBAG 12 BALL</t>
  </si>
  <si>
    <t>PL3107</t>
  </si>
  <si>
    <t>POLYBAG 18</t>
  </si>
  <si>
    <t>PL3108</t>
  </si>
  <si>
    <t>POLYBAG 18 BALL</t>
  </si>
  <si>
    <t>POLYBAG 20</t>
  </si>
  <si>
    <t>PL3110</t>
  </si>
  <si>
    <t>POLYBAG 20 BALL</t>
  </si>
  <si>
    <t>POLYBAG 25</t>
  </si>
  <si>
    <t>Pl3112</t>
  </si>
  <si>
    <t>POLYBAG 25 BALL</t>
  </si>
  <si>
    <t>POLYBAG 30</t>
  </si>
  <si>
    <t>PL3114</t>
  </si>
  <si>
    <t>POLYBAG 30 BALL</t>
  </si>
  <si>
    <t>POLYBAG 40</t>
  </si>
  <si>
    <t>PL3116</t>
  </si>
  <si>
    <t>POLYBAG 40 BALL</t>
  </si>
  <si>
    <t>POLYBAG 50</t>
  </si>
  <si>
    <t>Pl3118</t>
  </si>
  <si>
    <t>POLYBAG 50 BALL ISI 19</t>
  </si>
  <si>
    <t>TURUS 60CM</t>
  </si>
  <si>
    <t>PL3120</t>
  </si>
  <si>
    <t>POT PLASTIK</t>
  </si>
  <si>
    <t>ALAS POT GBL 10 HITAM</t>
  </si>
  <si>
    <t>PL3121</t>
  </si>
  <si>
    <t>ALAS POT GBL 12 HITAM</t>
  </si>
  <si>
    <t>PL3122</t>
  </si>
  <si>
    <t>ALAS POT GBL 12 PUTIH</t>
  </si>
  <si>
    <t>PL3123</t>
  </si>
  <si>
    <t>ALAS POT HITAM 20</t>
  </si>
  <si>
    <t>PL3124</t>
  </si>
  <si>
    <t>ALAS POT HITAM 25</t>
  </si>
  <si>
    <t>PL3125</t>
  </si>
  <si>
    <t>ALAS POT PUTIH 20</t>
  </si>
  <si>
    <t>PL3126</t>
  </si>
  <si>
    <t>POT ANGGREK 10 HITAM</t>
  </si>
  <si>
    <t>PL3127</t>
  </si>
  <si>
    <t>POT ANGGREK 12 HITAM</t>
  </si>
  <si>
    <t>POT ANGGREK HITAM 16</t>
  </si>
  <si>
    <t>PL3129</t>
  </si>
  <si>
    <t>POT ANGGREK KOTAK 15</t>
  </si>
  <si>
    <t>PL3130</t>
  </si>
  <si>
    <t>POT ANGGREK VANDA HITAM 10 KOTAK</t>
  </si>
  <si>
    <t>PL3131</t>
  </si>
  <si>
    <t>POT ANGGREK VANDA HITAM 12</t>
  </si>
  <si>
    <t>PL3132</t>
  </si>
  <si>
    <t>POT ANGGREK VANDA HITAM 15</t>
  </si>
  <si>
    <t>PL3133</t>
  </si>
  <si>
    <t>POT ANGGREK VANDA HITAM 20</t>
  </si>
  <si>
    <t>PL3134</t>
  </si>
  <si>
    <t>POT APEL 30 HITAM</t>
  </si>
  <si>
    <t>PL3135</t>
  </si>
  <si>
    <t>POT ARGO 1 TEMPEL HITAM</t>
  </si>
  <si>
    <t>PL3136</t>
  </si>
  <si>
    <t>POT ASTER 18 HITAM</t>
  </si>
  <si>
    <t>PL3137</t>
  </si>
  <si>
    <t>POT ASTER 18 PUTIH</t>
  </si>
  <si>
    <t>POT ASTER 181 HITAM</t>
  </si>
  <si>
    <t>POT ASTER 181 PUTIH</t>
  </si>
  <si>
    <t>PL3140</t>
  </si>
  <si>
    <t>POT BN 15 COKELAT</t>
  </si>
  <si>
    <t>PL3141</t>
  </si>
  <si>
    <t>POT BN 18 COKELAT</t>
  </si>
  <si>
    <t>PL3142</t>
  </si>
  <si>
    <t>POT BONSAI KOTAK</t>
  </si>
  <si>
    <t>PL3143</t>
  </si>
  <si>
    <t>POT CEMPAKA 100 HITAM</t>
  </si>
  <si>
    <t>PL3144</t>
  </si>
  <si>
    <t>POT GARDEN HITAM 12</t>
  </si>
  <si>
    <t>PL3145</t>
  </si>
  <si>
    <t>POT GENTONG 22 PUTIH</t>
  </si>
  <si>
    <t>PL3146</t>
  </si>
  <si>
    <t>POT GENTONG 27 PUTIH</t>
  </si>
  <si>
    <t>PL3147</t>
  </si>
  <si>
    <t>POT GLORY 30 HITAM</t>
  </si>
  <si>
    <t>PL3148</t>
  </si>
  <si>
    <t>POT GLORY 30 PUTIH</t>
  </si>
  <si>
    <t>PL3149</t>
  </si>
  <si>
    <t>POT GMP APEL 22 HITAM</t>
  </si>
  <si>
    <t>POT GMP APEL 22 PUTIH</t>
  </si>
  <si>
    <t>POT GMP B 50 HITAM</t>
  </si>
  <si>
    <t>PL3152</t>
  </si>
  <si>
    <t>POT GMP B 60 HITAM</t>
  </si>
  <si>
    <t>PL3153</t>
  </si>
  <si>
    <t>POT GMP B 70 HITAM</t>
  </si>
  <si>
    <t>PL3154</t>
  </si>
  <si>
    <t>POT GMP HITAM 10 POLOS</t>
  </si>
  <si>
    <t>PL3155</t>
  </si>
  <si>
    <t>POT GMP HITAM 12 POLOS</t>
  </si>
  <si>
    <t>PL3156</t>
  </si>
  <si>
    <t>POT GMP HITAM 15 POLOS</t>
  </si>
  <si>
    <t>POT GMP HITAM 17 POLOS</t>
  </si>
  <si>
    <t>POT GMP HITAM 20 POLOS</t>
  </si>
  <si>
    <t>POT GMP HITAM 25 POLOS</t>
  </si>
  <si>
    <t>PL3161</t>
  </si>
  <si>
    <t>POT GMP HITAM 26 MOTIF</t>
  </si>
  <si>
    <t>PL3162</t>
  </si>
  <si>
    <t>POT GMP HITAM 30 MOTIF</t>
  </si>
  <si>
    <t>POT GMP HITAM 30 POLOS</t>
  </si>
  <si>
    <t>POT GMP HITAM 35 POLOS</t>
  </si>
  <si>
    <t>POT GMP HITAM 40 POLOS</t>
  </si>
  <si>
    <t>PL3166</t>
  </si>
  <si>
    <t>POT GMP HITAM 45 POLOS</t>
  </si>
  <si>
    <t>PL3167</t>
  </si>
  <si>
    <t>POT GMP HITAM 8 POLOS</t>
  </si>
  <si>
    <t>PL3168</t>
  </si>
  <si>
    <t>PL3169</t>
  </si>
  <si>
    <t>POT GMP LECI HITAM 30</t>
  </si>
  <si>
    <t>POT GMP LECI HITAM 40</t>
  </si>
  <si>
    <t>PL3171</t>
  </si>
  <si>
    <t>POT GMP MERAH 30 MOTIF</t>
  </si>
  <si>
    <t>PL3172</t>
  </si>
  <si>
    <t>POT GMP PUTIH 17 POLOS</t>
  </si>
  <si>
    <t>PL3173</t>
  </si>
  <si>
    <t>POT GMP PUTIH 20 POLOS</t>
  </si>
  <si>
    <t>PL3174</t>
  </si>
  <si>
    <t>POT GMP PUTIH 25 POLOS</t>
  </si>
  <si>
    <t>PL3175</t>
  </si>
  <si>
    <t>POT GMP TEMPEL RGU 22 HITAM</t>
  </si>
  <si>
    <t>PL3176</t>
  </si>
  <si>
    <t>POT KERANG 22 HITAM</t>
  </si>
  <si>
    <t>PL3177</t>
  </si>
  <si>
    <t>POT KERANG 22 PUTIH</t>
  </si>
  <si>
    <t>PL3178</t>
  </si>
  <si>
    <t>POT LECI 25 HITAM</t>
  </si>
  <si>
    <t>POT LECI 35 HITAM</t>
  </si>
  <si>
    <t>PL3180</t>
  </si>
  <si>
    <t>POT LECI 45 HITAM</t>
  </si>
  <si>
    <t>PL3181</t>
  </si>
  <si>
    <t>POT MADO 18 PUTIH</t>
  </si>
  <si>
    <t>POT MOTIF BUNGA HITAM 25</t>
  </si>
  <si>
    <t>PL3183</t>
  </si>
  <si>
    <t>POT NANAS 13 COKELAT</t>
  </si>
  <si>
    <t>PL3184</t>
  </si>
  <si>
    <t>POT NARA 18 HITAM</t>
  </si>
  <si>
    <t>PL3185</t>
  </si>
  <si>
    <t>POT NKH 40 HITAM</t>
  </si>
  <si>
    <t>PL3186</t>
  </si>
  <si>
    <t>POT NKT BONSAI 01 KOTAK HITAM</t>
  </si>
  <si>
    <t>PL3187</t>
  </si>
  <si>
    <t>POT PADI 12 PUTIH</t>
  </si>
  <si>
    <t>PL3188</t>
  </si>
  <si>
    <t>POT RGU 10 HITAM</t>
  </si>
  <si>
    <t>PL3189</t>
  </si>
  <si>
    <t>POT SGP 01 HITAM</t>
  </si>
  <si>
    <t>PL3190</t>
  </si>
  <si>
    <t>POT SGP 03 HITAM</t>
  </si>
  <si>
    <t>PL3191</t>
  </si>
  <si>
    <t>POT SGP 05 HITAM</t>
  </si>
  <si>
    <t>PL3192</t>
  </si>
  <si>
    <t>POT TAWON 10 HITAM</t>
  </si>
  <si>
    <t>PL3193</t>
  </si>
  <si>
    <t>TATAKAN POT GBL T 30 HITAM</t>
  </si>
  <si>
    <t>PL3194</t>
  </si>
  <si>
    <t>POT PADI 20 PUTIH</t>
  </si>
  <si>
    <t>PL3195</t>
  </si>
  <si>
    <t>POT PADI 20 HITAM</t>
  </si>
  <si>
    <t>PL3196</t>
  </si>
  <si>
    <t>POT APEL 25 HITAM</t>
  </si>
  <si>
    <t>PL3197</t>
  </si>
  <si>
    <t>POT APEL 25 PUTIH</t>
  </si>
  <si>
    <t>POT LECI 30 PUTIH</t>
  </si>
  <si>
    <t>PL3199</t>
  </si>
  <si>
    <t>PLANTER BAG 45L</t>
  </si>
  <si>
    <t>PS</t>
  </si>
  <si>
    <t>PS4001</t>
  </si>
  <si>
    <t>PESTISIDA</t>
  </si>
  <si>
    <t>FUNGISIDA</t>
  </si>
  <si>
    <t>ANTRACOL 250GR</t>
  </si>
  <si>
    <t>PS4002</t>
  </si>
  <si>
    <t>ANTRACOL PCK 50GR</t>
  </si>
  <si>
    <t>PS4003</t>
  </si>
  <si>
    <t>HERBISIDA</t>
  </si>
  <si>
    <t>CAIRAN PEMBASMI RUMPUT LIAR 1LITER</t>
  </si>
  <si>
    <t>PS4004</t>
  </si>
  <si>
    <t>CAIRAN PEMBASMI RUMPUT LIAR 250ML</t>
  </si>
  <si>
    <t>PS4005</t>
  </si>
  <si>
    <t>GRAMOXONE 1LITER</t>
  </si>
  <si>
    <t>GRAMOXONE 250ML</t>
  </si>
  <si>
    <t>PS4007</t>
  </si>
  <si>
    <t>GRAMOXONE 500ML</t>
  </si>
  <si>
    <t>ROUNDUP 1LITER</t>
  </si>
  <si>
    <t>ROUNDUP 200ML</t>
  </si>
  <si>
    <t>PS4010</t>
  </si>
  <si>
    <t>STARLON 665 EC HERBISIDA 1 LT</t>
  </si>
  <si>
    <t>STARLON 665 EC HERBISIDA 100ML</t>
  </si>
  <si>
    <t>PS4012</t>
  </si>
  <si>
    <t>INSEKTISIDA</t>
  </si>
  <si>
    <t>ALIKA 100ML</t>
  </si>
  <si>
    <t>ALIKA 50ML</t>
  </si>
  <si>
    <t>PS4014</t>
  </si>
  <si>
    <t>AMISTAR TOP 325 SC 50ML</t>
  </si>
  <si>
    <t>PS4015</t>
  </si>
  <si>
    <t>CURACRON 500EC 100ML</t>
  </si>
  <si>
    <t>PS4016</t>
  </si>
  <si>
    <t>DECIS 50ML</t>
  </si>
  <si>
    <t>PS4017</t>
  </si>
  <si>
    <t>DIAZINON 100ML</t>
  </si>
  <si>
    <t>PS4018</t>
  </si>
  <si>
    <t>FURADAN 1KG</t>
  </si>
  <si>
    <t>FURADAN RPK 100GR</t>
  </si>
  <si>
    <t>KALIANDRA 50ML</t>
  </si>
  <si>
    <t>PS4021</t>
  </si>
  <si>
    <t>MATADOR 50ML</t>
  </si>
  <si>
    <t>PS4022</t>
  </si>
  <si>
    <t>PEGASUS 80ML</t>
  </si>
  <si>
    <t>PS4023</t>
  </si>
  <si>
    <t>RACUN TIKUS MAOWANG</t>
  </si>
  <si>
    <t>PS4024</t>
  </si>
  <si>
    <t>REGENT 250ML</t>
  </si>
  <si>
    <t>REGENT 50ML</t>
  </si>
  <si>
    <t>PS4026</t>
  </si>
  <si>
    <t>PS4027</t>
  </si>
  <si>
    <t>SAMITE 100ML</t>
  </si>
  <si>
    <t>PS4028</t>
  </si>
  <si>
    <t>SEVIN</t>
  </si>
  <si>
    <t>TERMIBAN 100ML</t>
  </si>
  <si>
    <t>PS4030</t>
  </si>
  <si>
    <t>WISATOX</t>
  </si>
  <si>
    <t>PK</t>
  </si>
  <si>
    <t>PK5001</t>
  </si>
  <si>
    <t>PUPUK</t>
  </si>
  <si>
    <t>6-BAP HIJAU PEMBUNGAAN</t>
  </si>
  <si>
    <t>PK5002</t>
  </si>
  <si>
    <t>6-BAP HIJAU PENUMBUH AKAR</t>
  </si>
  <si>
    <t>PK5003</t>
  </si>
  <si>
    <t>AB MIX NUTRISI</t>
  </si>
  <si>
    <t>ATONIK 100ML</t>
  </si>
  <si>
    <t>PK5005</t>
  </si>
  <si>
    <t>BAP BIRU 30ML</t>
  </si>
  <si>
    <t>PK5006</t>
  </si>
  <si>
    <t>BIO JOZ 1LT</t>
  </si>
  <si>
    <t>PK5007</t>
  </si>
  <si>
    <t>BIO JOZ 250ML</t>
  </si>
  <si>
    <t>PK5008</t>
  </si>
  <si>
    <t>BIO TRENT 500ML</t>
  </si>
  <si>
    <t>PK5009</t>
  </si>
  <si>
    <t>DEKASTAR 131313 BTL 100GR</t>
  </si>
  <si>
    <t>DEKASTAR 131313 KTK 100GR</t>
  </si>
  <si>
    <t>DEKASTAR 131313 KTK 500GR</t>
  </si>
  <si>
    <t>DEKASTAR 171110 BTL 100GR</t>
  </si>
  <si>
    <t>DEKASTAR 171110 KTK 100GR</t>
  </si>
  <si>
    <t>PK5014</t>
  </si>
  <si>
    <t>DEKASTAR 171110 KTK 500GR</t>
  </si>
  <si>
    <t>PK5015</t>
  </si>
  <si>
    <t>DEKASTAR 61325 KTK 100GR</t>
  </si>
  <si>
    <t>EM4</t>
  </si>
  <si>
    <t>GANDASIL B 100ML</t>
  </si>
  <si>
    <t>PK5018</t>
  </si>
  <si>
    <t>GANDASIL B 500GR</t>
  </si>
  <si>
    <t>PK5019</t>
  </si>
  <si>
    <t>GANDASIL D 100ML</t>
  </si>
  <si>
    <t>PK5020</t>
  </si>
  <si>
    <t>GANDASIL D 500ML</t>
  </si>
  <si>
    <t>PK5021</t>
  </si>
  <si>
    <t>HORMON SEED BOOSTER</t>
  </si>
  <si>
    <t>KAPUR DOLOMITE 1KG</t>
  </si>
  <si>
    <t>PK5023</t>
  </si>
  <si>
    <t>KNO3 PUTIH PAK TANI 1KG</t>
  </si>
  <si>
    <t>PK5024</t>
  </si>
  <si>
    <t>KNO3 PUTIH PAK TANI 2KG</t>
  </si>
  <si>
    <t>PK5025</t>
  </si>
  <si>
    <t>MAGNESIUM PAK TANI 1KG</t>
  </si>
  <si>
    <t>MKP PAK TANI 1KG</t>
  </si>
  <si>
    <t>PK5027</t>
  </si>
  <si>
    <t>MOLASE 1L REPACK</t>
  </si>
  <si>
    <t>MOLASE PLUS 2 LT</t>
  </si>
  <si>
    <t>PK5029</t>
  </si>
  <si>
    <t>MULTITONIK BUNGA 500ML</t>
  </si>
  <si>
    <t>PK5030</t>
  </si>
  <si>
    <t>MULTITONIK UMUM 500ML</t>
  </si>
  <si>
    <t>PK5031</t>
  </si>
  <si>
    <t>NEEM OIL 100ML</t>
  </si>
  <si>
    <t>PERANGSANG AKAR INFARM 100ML</t>
  </si>
  <si>
    <t>PK5033</t>
  </si>
  <si>
    <t>PUPUK AGRO LESTARI 1LT</t>
  </si>
  <si>
    <t>PK5034</t>
  </si>
  <si>
    <t>PUPUK AGRO LESTARI 450ML</t>
  </si>
  <si>
    <t>PK5035</t>
  </si>
  <si>
    <t>PUPUK ANDERSON 100GR RPK</t>
  </si>
  <si>
    <t>PK5036</t>
  </si>
  <si>
    <t>PUPUK ANDERSON 500GR</t>
  </si>
  <si>
    <t>PUPUK BIO FLOWER SUPER 100ML</t>
  </si>
  <si>
    <t>PUPUK BIO FLOWER SUPER 250ML</t>
  </si>
  <si>
    <t>PK5039</t>
  </si>
  <si>
    <t>PUPUK BOOSTER 76 1 LT</t>
  </si>
  <si>
    <t>PK5040</t>
  </si>
  <si>
    <t>PUPUK BOOSTER 76 100ML</t>
  </si>
  <si>
    <t>PUPUK BOOSTER 76 250ML</t>
  </si>
  <si>
    <t>PK5042</t>
  </si>
  <si>
    <t>PUPUK DOLOMIT 40KG</t>
  </si>
  <si>
    <t>PUPUK KAMBING 5KG</t>
  </si>
  <si>
    <t>PK5044</t>
  </si>
  <si>
    <t>PUPUK KAMBING FERMENTASI 10KG</t>
  </si>
  <si>
    <t>PK5045</t>
  </si>
  <si>
    <t>PUPUK KAMBING MIX 10KG</t>
  </si>
  <si>
    <t>PK5046</t>
  </si>
  <si>
    <t>PUPUK MEROKE KNO3 KALINITRA 1KG</t>
  </si>
  <si>
    <t>PUPUK MEROKE MKP 1KG</t>
  </si>
  <si>
    <t>PUPUK MUTIARA 161616 100GR RPK</t>
  </si>
  <si>
    <t>PUPUK MUTIARA 161616 1KG</t>
  </si>
  <si>
    <t>PK5050</t>
  </si>
  <si>
    <t>PUPUK MUTIARA 161616 1KG RPK</t>
  </si>
  <si>
    <t>PK5051</t>
  </si>
  <si>
    <t>PUPUK MUTIARA 161616 5KG</t>
  </si>
  <si>
    <t>PUPUK NPK 161616 PAK TANI</t>
  </si>
  <si>
    <t>PK5053</t>
  </si>
  <si>
    <t>PUPUK NPK KARATE PLUS BORONI 1KG</t>
  </si>
  <si>
    <t>PUPUK NPK MUTIARA GROWER 150920TE 1KG</t>
  </si>
  <si>
    <t>PK5055</t>
  </si>
  <si>
    <t>PUPUK NPK PHONSKA 1KG</t>
  </si>
  <si>
    <t>PK5056</t>
  </si>
  <si>
    <t>PUPUK NPK PHONSKA 1KG REPACK</t>
  </si>
  <si>
    <t>PUPUK ORGANIK CAIR BUAH 100ML</t>
  </si>
  <si>
    <t>PK5058</t>
  </si>
  <si>
    <t>PUPUK ORGANIK CAIR SAYURAN 100ML</t>
  </si>
  <si>
    <t>PK5059</t>
  </si>
  <si>
    <t>PUPUK ORGANIK CAIR SAYURAN 500ML</t>
  </si>
  <si>
    <t>PK5060</t>
  </si>
  <si>
    <t>PUPUK SK-COTE 19-10-13 100GR RPK</t>
  </si>
  <si>
    <t>PK5061</t>
  </si>
  <si>
    <t>PUPUK SK-COTE 19-10-13 1KG</t>
  </si>
  <si>
    <t>PK5062</t>
  </si>
  <si>
    <t>PUPUK ULTRADAP PAK TANI</t>
  </si>
  <si>
    <t>PK5063</t>
  </si>
  <si>
    <t>PUPUK UREA 1/2KG</t>
  </si>
  <si>
    <t>PUPUK UREA 1KG</t>
  </si>
  <si>
    <t>PK5065</t>
  </si>
  <si>
    <t>PUPUK UREA 5KG</t>
  </si>
  <si>
    <t>PUPUK XPK 1KG</t>
  </si>
  <si>
    <t>PUPUK XPK PCK 100GR</t>
  </si>
  <si>
    <t>PUPUK ZA 1KG</t>
  </si>
  <si>
    <t>ROOTUP 100GR</t>
  </si>
  <si>
    <t>VITAMIN B1 100ML</t>
  </si>
  <si>
    <t>VITAMIN B1 100ML TAIWAN</t>
  </si>
  <si>
    <t>VITAMIN B1 500ML</t>
  </si>
  <si>
    <t>PK5073</t>
  </si>
  <si>
    <t>VITAMIN B1 500ML TAIWAN</t>
  </si>
  <si>
    <t>VITAMIN B1 HIJAU INFARM 100ML</t>
  </si>
  <si>
    <t>PK5075</t>
  </si>
  <si>
    <t>VITAMIN B1+B6 100ML</t>
  </si>
  <si>
    <t>SALES SUMMARY PER DAY</t>
  </si>
  <si>
    <t>Total Sales</t>
  </si>
  <si>
    <t>Cash</t>
  </si>
  <si>
    <t>Transfer</t>
  </si>
  <si>
    <t>Online</t>
  </si>
  <si>
    <t>Instant</t>
  </si>
  <si>
    <t>Customer</t>
  </si>
  <si>
    <t>MT1029</t>
  </si>
  <si>
    <t>17/02/26</t>
  </si>
  <si>
    <t>29/02/25</t>
  </si>
  <si>
    <t>30/02/25</t>
  </si>
  <si>
    <t>31/02/25</t>
  </si>
  <si>
    <t>TOTAL</t>
  </si>
  <si>
    <t>AVG</t>
  </si>
  <si>
    <t>Category</t>
  </si>
  <si>
    <t>Sub Category</t>
  </si>
  <si>
    <t>Beginning</t>
  </si>
  <si>
    <t>01/11/24</t>
  </si>
  <si>
    <t>02/11/24</t>
  </si>
  <si>
    <t>MT1001</t>
  </si>
  <si>
    <t>MT1002</t>
  </si>
  <si>
    <t>MT1003</t>
  </si>
  <si>
    <t>MT1004</t>
  </si>
  <si>
    <t>MT1005</t>
  </si>
  <si>
    <t>MT1006</t>
  </si>
  <si>
    <t>MT1007</t>
  </si>
  <si>
    <t>MT1008</t>
  </si>
  <si>
    <t>MT1009</t>
  </si>
  <si>
    <t>MT1010</t>
  </si>
  <si>
    <t>MT1011</t>
  </si>
  <si>
    <t>MT1012</t>
  </si>
  <si>
    <t>MT1013</t>
  </si>
  <si>
    <t>MT1014</t>
  </si>
  <si>
    <t>MT1015</t>
  </si>
  <si>
    <t>MT1016</t>
  </si>
  <si>
    <t>MT1017</t>
  </si>
  <si>
    <t>MT1018</t>
  </si>
  <si>
    <t>MT1019</t>
  </si>
  <si>
    <t>MT1020</t>
  </si>
  <si>
    <t>MT1021</t>
  </si>
  <si>
    <t>MT1022</t>
  </si>
  <si>
    <t>MT1023</t>
  </si>
  <si>
    <t>MT1024</t>
  </si>
  <si>
    <t>MT1025</t>
  </si>
  <si>
    <t>MT1026</t>
  </si>
  <si>
    <t>MT1027</t>
  </si>
  <si>
    <t>MT1028</t>
  </si>
  <si>
    <t>MT1030</t>
  </si>
  <si>
    <t>MT1031</t>
  </si>
  <si>
    <t>MT1032</t>
  </si>
  <si>
    <t>MT1033</t>
  </si>
  <si>
    <t>MT1034</t>
  </si>
  <si>
    <t>MT1035</t>
  </si>
  <si>
    <t>MT1036</t>
  </si>
  <si>
    <t>MT1037</t>
  </si>
  <si>
    <t>MT1038</t>
  </si>
  <si>
    <t>PL1001</t>
  </si>
  <si>
    <t>PL1002</t>
  </si>
  <si>
    <t>PL2001</t>
  </si>
  <si>
    <t>PL2002</t>
  </si>
  <si>
    <t>PL2003</t>
  </si>
  <si>
    <t>PL2004</t>
  </si>
  <si>
    <t>PL2005</t>
  </si>
  <si>
    <t>PL2006</t>
  </si>
  <si>
    <t>PL2007</t>
  </si>
  <si>
    <t>PL2008</t>
  </si>
  <si>
    <t>PL2009</t>
  </si>
  <si>
    <t>PL2010</t>
  </si>
  <si>
    <t>PL2011</t>
  </si>
  <si>
    <t>PL2012</t>
  </si>
  <si>
    <t>PL2013</t>
  </si>
  <si>
    <t>PL2014</t>
  </si>
  <si>
    <t>PL2015</t>
  </si>
  <si>
    <t>PL2016</t>
  </si>
  <si>
    <t>PL4001</t>
  </si>
  <si>
    <t>PL4002</t>
  </si>
  <si>
    <t>PL4003</t>
  </si>
  <si>
    <t>PL4004</t>
  </si>
  <si>
    <t>PL4005</t>
  </si>
  <si>
    <t>PL4006</t>
  </si>
  <si>
    <t>PL4007</t>
  </si>
  <si>
    <t>PL4008</t>
  </si>
  <si>
    <t>PL4009</t>
  </si>
  <si>
    <t>PL4010</t>
  </si>
  <si>
    <t>PL4011</t>
  </si>
  <si>
    <t>PL4012</t>
  </si>
  <si>
    <t>PL4013</t>
  </si>
  <si>
    <t>PL4014</t>
  </si>
  <si>
    <t>PL4015</t>
  </si>
  <si>
    <t>PL4016</t>
  </si>
  <si>
    <t>PL4017</t>
  </si>
  <si>
    <t>PL4018</t>
  </si>
  <si>
    <t>PL4019</t>
  </si>
  <si>
    <t>PL4020</t>
  </si>
  <si>
    <t>PL4021</t>
  </si>
  <si>
    <t>PL4022</t>
  </si>
  <si>
    <t>PL4023</t>
  </si>
  <si>
    <t>Pl4024</t>
  </si>
  <si>
    <t>PL4025</t>
  </si>
  <si>
    <t>PL4026</t>
  </si>
  <si>
    <t>PL4027</t>
  </si>
  <si>
    <t>PL4028</t>
  </si>
  <si>
    <t>PL4029</t>
  </si>
  <si>
    <t>PL4030</t>
  </si>
  <si>
    <t>PL4031</t>
  </si>
  <si>
    <t>PL4032</t>
  </si>
  <si>
    <t>PL4033</t>
  </si>
  <si>
    <t>PL5001</t>
  </si>
  <si>
    <t>PL5002</t>
  </si>
  <si>
    <t>PL5003</t>
  </si>
  <si>
    <t>PL5005</t>
  </si>
  <si>
    <t>PL5006</t>
  </si>
  <si>
    <t>PL5007</t>
  </si>
  <si>
    <t>PL5008</t>
  </si>
  <si>
    <t>Pl5009</t>
  </si>
  <si>
    <t>PL5010</t>
  </si>
  <si>
    <t>PL5011</t>
  </si>
  <si>
    <t>PL5012</t>
  </si>
  <si>
    <t>PL5013</t>
  </si>
  <si>
    <t>PL5014</t>
  </si>
  <si>
    <t>PL5015</t>
  </si>
  <si>
    <t>PL5016</t>
  </si>
  <si>
    <t>PL5017</t>
  </si>
  <si>
    <t>PL5018</t>
  </si>
  <si>
    <t>PL5019</t>
  </si>
  <si>
    <t>PL6001</t>
  </si>
  <si>
    <t>PL6002</t>
  </si>
  <si>
    <t>PL6003</t>
  </si>
  <si>
    <t>PL6004</t>
  </si>
  <si>
    <t>PL6005</t>
  </si>
  <si>
    <t>PL6006</t>
  </si>
  <si>
    <t>PL6007</t>
  </si>
  <si>
    <t>PL6008</t>
  </si>
  <si>
    <t>PL6009</t>
  </si>
  <si>
    <t>PL6010</t>
  </si>
  <si>
    <t>PL6011</t>
  </si>
  <si>
    <t>PL6012</t>
  </si>
  <si>
    <t>PL6013</t>
  </si>
  <si>
    <t>PL6014</t>
  </si>
  <si>
    <t>PL6015</t>
  </si>
  <si>
    <t>PL6016</t>
  </si>
  <si>
    <t>PL6017</t>
  </si>
  <si>
    <t>PL6018</t>
  </si>
  <si>
    <t>PL6019</t>
  </si>
  <si>
    <t>PL6020</t>
  </si>
  <si>
    <t>PL6021</t>
  </si>
  <si>
    <t>PL6022</t>
  </si>
  <si>
    <t>PL6023</t>
  </si>
  <si>
    <t>PL6024</t>
  </si>
  <si>
    <t>PL6025</t>
  </si>
  <si>
    <t>PL6026</t>
  </si>
  <si>
    <t>PL6027</t>
  </si>
  <si>
    <t>PL6028</t>
  </si>
  <si>
    <t>PL6029</t>
  </si>
  <si>
    <t>PL6030</t>
  </si>
  <si>
    <t>PL6031</t>
  </si>
  <si>
    <t>PS1001</t>
  </si>
  <si>
    <t>PS1002</t>
  </si>
  <si>
    <t>PS2001</t>
  </si>
  <si>
    <t>PS2002</t>
  </si>
  <si>
    <t>PS2003</t>
  </si>
  <si>
    <t>PS2004</t>
  </si>
  <si>
    <t>PS2005</t>
  </si>
  <si>
    <t>PS2006</t>
  </si>
  <si>
    <t>PS2007</t>
  </si>
  <si>
    <t>PS3001</t>
  </si>
  <si>
    <t>PS3002</t>
  </si>
  <si>
    <t>PS3003</t>
  </si>
  <si>
    <t>PS3004</t>
  </si>
  <si>
    <t>PS3005</t>
  </si>
  <si>
    <t>PS3006</t>
  </si>
  <si>
    <t>PS3007</t>
  </si>
  <si>
    <t>PS3008</t>
  </si>
  <si>
    <t>PS3009</t>
  </si>
  <si>
    <t>PS3010</t>
  </si>
  <si>
    <t>PS3011</t>
  </si>
  <si>
    <t>PS3012</t>
  </si>
  <si>
    <t>PK1001</t>
  </si>
  <si>
    <t>PK1002</t>
  </si>
  <si>
    <t>PK1003</t>
  </si>
  <si>
    <t>PK1004</t>
  </si>
  <si>
    <t>PK1005</t>
  </si>
  <si>
    <t>PK1006</t>
  </si>
  <si>
    <t>PK1007</t>
  </si>
  <si>
    <t>PK1008</t>
  </si>
  <si>
    <t>PK1009</t>
  </si>
  <si>
    <t>PK1010</t>
  </si>
  <si>
    <t>PK1011</t>
  </si>
  <si>
    <t>PK1012</t>
  </si>
  <si>
    <t>PK1013</t>
  </si>
  <si>
    <t>PK1014</t>
  </si>
  <si>
    <t>PK1015</t>
  </si>
  <si>
    <t>PK1016</t>
  </si>
  <si>
    <t>PK1017</t>
  </si>
  <si>
    <t>PK1018</t>
  </si>
  <si>
    <t>PK1019</t>
  </si>
  <si>
    <t>PK1020</t>
  </si>
  <si>
    <t>PK1021</t>
  </si>
  <si>
    <t>PK1022</t>
  </si>
  <si>
    <t>PK1023</t>
  </si>
  <si>
    <t>PK1024</t>
  </si>
  <si>
    <t>PK1025</t>
  </si>
  <si>
    <t>PK1026</t>
  </si>
  <si>
    <t>PK1027</t>
  </si>
  <si>
    <t>PK1028</t>
  </si>
  <si>
    <t>PK1029</t>
  </si>
  <si>
    <t>PK1030</t>
  </si>
  <si>
    <t>PK1031</t>
  </si>
  <si>
    <t>PK1032</t>
  </si>
  <si>
    <t>PK1033</t>
  </si>
  <si>
    <t>PK1034</t>
  </si>
  <si>
    <t>PK1035</t>
  </si>
  <si>
    <t>PK1036</t>
  </si>
  <si>
    <t>PK1037</t>
  </si>
  <si>
    <t>PK1038</t>
  </si>
  <si>
    <t>PK1039</t>
  </si>
  <si>
    <t>PK1040</t>
  </si>
  <si>
    <t>PK1041</t>
  </si>
  <si>
    <t>PK1042</t>
  </si>
  <si>
    <t>PK1043</t>
  </si>
  <si>
    <t>PK1044</t>
  </si>
  <si>
    <t>PK1045</t>
  </si>
  <si>
    <t>PK1046</t>
  </si>
  <si>
    <t>PK1047</t>
  </si>
  <si>
    <t>PK1048</t>
  </si>
  <si>
    <t>PK1049</t>
  </si>
  <si>
    <t>PK1050</t>
  </si>
  <si>
    <t>INVENTORY IN - OUT OCTOBER 2024</t>
  </si>
  <si>
    <t>INV. NO</t>
  </si>
  <si>
    <t>Vendor</t>
  </si>
  <si>
    <t>z</t>
  </si>
  <si>
    <t>Type</t>
  </si>
  <si>
    <t>01/10/24</t>
  </si>
  <si>
    <t>09:00:00</t>
  </si>
  <si>
    <t>INCOMING</t>
  </si>
  <si>
    <t>03/10/24</t>
  </si>
  <si>
    <t>08:45:00</t>
  </si>
  <si>
    <t>04/10/24</t>
  </si>
  <si>
    <t>08:29:00</t>
  </si>
  <si>
    <t>07/10/24</t>
  </si>
  <si>
    <t>08:37:00</t>
  </si>
  <si>
    <t>PK1051</t>
  </si>
  <si>
    <t>PK1052</t>
  </si>
  <si>
    <t>08/10/24</t>
  </si>
  <si>
    <t>08:35:00</t>
  </si>
  <si>
    <t>08:39:00</t>
  </si>
  <si>
    <t>09/10/24</t>
  </si>
  <si>
    <t>11/10/24</t>
  </si>
  <si>
    <t>08:30:00</t>
  </si>
  <si>
    <t>12/10/24</t>
  </si>
  <si>
    <t>15:18:00</t>
  </si>
  <si>
    <t>12:18:00</t>
  </si>
  <si>
    <t>ALBERT</t>
  </si>
  <si>
    <t>BONUS</t>
  </si>
  <si>
    <t>TRANSFER</t>
  </si>
  <si>
    <t>BAWA DARI KOS</t>
  </si>
  <si>
    <t>REPACK</t>
  </si>
  <si>
    <t>INVENTORY INC NOVEMBER 2025</t>
  </si>
  <si>
    <t>Notes</t>
  </si>
  <si>
    <t>31/10/25</t>
  </si>
  <si>
    <t>17:04:00</t>
  </si>
  <si>
    <t>005771/KSR/TGB/1025</t>
  </si>
  <si>
    <t>Trf pakai uang BNI</t>
  </si>
  <si>
    <t>02/11/25</t>
  </si>
  <si>
    <t>11:17:00</t>
  </si>
  <si>
    <t>028234/KSR/SCA/1125</t>
  </si>
  <si>
    <t>SARANA CIPTA AGRO</t>
  </si>
  <si>
    <t>03/11/25</t>
  </si>
  <si>
    <t>08:19:00</t>
  </si>
  <si>
    <t>005826/KSR/TGB/1125</t>
  </si>
  <si>
    <t>PETTY CASH OCTOBER 2024</t>
  </si>
  <si>
    <t>No</t>
  </si>
  <si>
    <t>Trx Number</t>
  </si>
  <si>
    <t>Descriptions</t>
  </si>
  <si>
    <t>In</t>
  </si>
  <si>
    <t>Out</t>
  </si>
  <si>
    <t>Balance</t>
  </si>
  <si>
    <t>Opening Balance</t>
  </si>
  <si>
    <t>Sales Summary 01/10/24</t>
  </si>
  <si>
    <t>22/10/24</t>
  </si>
  <si>
    <t>Total cash</t>
  </si>
  <si>
    <t>SAVE MARGIN</t>
  </si>
  <si>
    <t>01/11/25</t>
  </si>
  <si>
    <t>BANK SEPTEMBER 2024</t>
  </si>
  <si>
    <t>01/09/24</t>
  </si>
  <si>
    <t>Purchase Pinebark</t>
  </si>
  <si>
    <t>03/09/24</t>
  </si>
  <si>
    <t>Payment Cocopeat Instant</t>
  </si>
  <si>
    <t>04/09/24</t>
  </si>
  <si>
    <t>Payment Tanah Subur Instant</t>
  </si>
  <si>
    <t>02/09/24</t>
  </si>
  <si>
    <t>JANUARI 2026</t>
  </si>
  <si>
    <t>Agustus</t>
  </si>
  <si>
    <t>September</t>
  </si>
  <si>
    <t>Oktober</t>
  </si>
  <si>
    <t>Bali Green House - Panjer</t>
  </si>
  <si>
    <t>13/01/2026</t>
  </si>
  <si>
    <t>14/09/2025</t>
  </si>
  <si>
    <t>27/12/2025</t>
  </si>
  <si>
    <t>Item</t>
  </si>
  <si>
    <t>Toko</t>
  </si>
  <si>
    <t>Gudang</t>
  </si>
  <si>
    <t>Tanah Subur 10kg</t>
  </si>
  <si>
    <t>Tanah Subur 25kg</t>
  </si>
  <si>
    <t>Sekam Bakar 10kg</t>
  </si>
  <si>
    <t>Pasir Malang halus 10kg</t>
  </si>
  <si>
    <t>Sekam Mentah 10kg</t>
  </si>
  <si>
    <t>Pasir Malang Halus 25kg</t>
  </si>
  <si>
    <t>Sekam Fermentasi 10kg</t>
  </si>
  <si>
    <t>Sekam Mentah 25kg</t>
  </si>
  <si>
    <t>Sekam Bakar 25kg</t>
  </si>
  <si>
    <t>Pakis Cacah</t>
  </si>
  <si>
    <t>Pasir Malang Halus 10kg</t>
  </si>
  <si>
    <t>Pasir Malang Kasar 10kg</t>
  </si>
  <si>
    <t xml:space="preserve">Pasir Malang Halus 25kg </t>
  </si>
  <si>
    <t xml:space="preserve">Pupuk Kambing Butiran </t>
  </si>
  <si>
    <t>Pupuk Kambing Halus 5kg</t>
  </si>
  <si>
    <t>Cocopeat 10kg</t>
  </si>
  <si>
    <t>Pupuk Kambing Butiran 10kg</t>
  </si>
  <si>
    <t>Sekam Bakar 50kg</t>
  </si>
  <si>
    <t>Tanah Murni 10kg</t>
  </si>
  <si>
    <t>Sekam Mentah 50kg</t>
  </si>
  <si>
    <t>Bali Green House - Lovina</t>
  </si>
  <si>
    <t>16/08/2025</t>
  </si>
  <si>
    <t>27/09/2025</t>
  </si>
  <si>
    <t>19/10/2025</t>
  </si>
  <si>
    <t>Tambahan - 21/10/2025</t>
  </si>
  <si>
    <t>28/08/2025</t>
  </si>
  <si>
    <t>Stok media:</t>
  </si>
  <si>
    <t>- Tanah subur 10kg 2</t>
  </si>
  <si>
    <t>- ⁠tanah subur 25kg 12</t>
  </si>
  <si>
    <t>- ⁠tanah murni 10kg 16</t>
  </si>
  <si>
    <t>- ⁠pasir malang 10kg 10</t>
  </si>
  <si>
    <t>- ⁠pasir malang 25kg 2</t>
  </si>
  <si>
    <t>- ⁠pasir malang kasar 10kg 4</t>
  </si>
  <si>
    <t>- ⁠sekam mentah 10kg 2</t>
  </si>
  <si>
    <t>- ⁠sekam mentah 25kg 5</t>
  </si>
  <si>
    <t>- ⁠sekam bakar 10kg 4</t>
  </si>
  <si>
    <t>Cocopeat 50kg</t>
  </si>
  <si>
    <t>- ⁠sekam bakar 25kg -</t>
  </si>
  <si>
    <t>- ⁠sekam fermentasi 10kg 6</t>
  </si>
  <si>
    <t>- ⁠pupuk kambing 6</t>
  </si>
  <si>
    <t>25/10/2025</t>
  </si>
  <si>
    <t>- ⁠Pupuk butiran 2</t>
  </si>
  <si>
    <t>Mos kampil besar</t>
  </si>
  <si>
    <t>24/11/2025</t>
  </si>
  <si>
    <t>Pupuk Kambing Butiran</t>
  </si>
  <si>
    <t>28/02/2026</t>
  </si>
  <si>
    <t>Moss 50kg</t>
  </si>
  <si>
    <t>Sekam Bakar 25k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</si>
</sst>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/dd/yyyy"/>
  </numFmts>
  <fonts count="17">
    <font>
      <sz val="10.0"/>
      <color rgb="FF000000"/>
      <name val="Arial"/>
      <scheme val="minor"/>
    </font>
    <font>
      <sz val="10.0"/>
      <color theme="1"/>
      <name val="Trebuchet MS"/>
    </font>
    <font>
      <b/>
      <sz val="10.0"/>
      <color rgb="FFFFFFFF"/>
      <name val="Trebuchet MS"/>
    </font>
    <font/>
    <font>
      <b/>
      <sz val="10.0"/>
      <color theme="1"/>
      <name val="Trebuchet MS"/>
    </font>
    <font>
      <sz val="10.0"/>
      <color theme="1"/>
      <name val="Arial"/>
    </font>
    <font>
      <color theme="1"/>
      <name val="Trebuchet MS"/>
    </font>
    <font>
      <color theme="1"/>
      <name val="Arial"/>
    </font>
    <font>
      <sz val="10.0"/>
      <color rgb="FF000000"/>
      <name val="Trebuchet MS"/>
    </font>
    <font>
      <b/>
      <sz val="11.0"/>
      <color rgb="FFFFFFFF"/>
      <name val="Trebuchet MS"/>
    </font>
    <font>
      <sz val="10.0"/>
      <color theme="1"/>
      <name val="Calibri"/>
    </font>
    <font>
      <sz val="10.0"/>
      <color rgb="FFFFFFFF"/>
      <name val="Calibri"/>
    </font>
    <font>
      <b/>
      <sz val="15.0"/>
      <color rgb="FFCC0000"/>
      <name val="Calibri"/>
    </font>
    <font>
      <b/>
      <color theme="1"/>
      <name val="Arial"/>
    </font>
    <font>
      <b/>
      <sz val="10.0"/>
      <color theme="1"/>
      <name val="Arial"/>
    </font>
    <font>
      <b/>
      <color rgb="FFFFFFFF"/>
      <name val="Arial"/>
    </font>
    <font>
      <b/>
      <sz val="10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A61C00"/>
        <bgColor rgb="FFA61C00"/>
      </patternFill>
    </fill>
    <fill>
      <patternFill patternType="solid">
        <fgColor rgb="FFF6B26B"/>
        <bgColor rgb="FFF6B26B"/>
      </patternFill>
    </fill>
    <fill>
      <patternFill patternType="solid">
        <fgColor rgb="FFBF9000"/>
        <bgColor rgb="FFBF9000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CCCCC"/>
        <bgColor rgb="FFCCCCCC"/>
      </patternFill>
    </fill>
    <fill>
      <patternFill patternType="solid">
        <fgColor rgb="FF7F6000"/>
        <bgColor rgb="FF7F6000"/>
      </patternFill>
    </fill>
    <fill>
      <patternFill patternType="solid">
        <fgColor rgb="FF38761D"/>
        <bgColor rgb="FF38761D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4" xfId="0" applyFont="1" applyNumberFormat="1"/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3" fillId="3" fontId="4" numFmtId="0" xfId="0" applyAlignment="1" applyBorder="1" applyFill="1" applyFont="1">
      <alignment horizontal="center"/>
    </xf>
    <xf borderId="3" fillId="3" fontId="4" numFmtId="49" xfId="0" applyAlignment="1" applyBorder="1" applyFont="1" applyNumberFormat="1">
      <alignment horizontal="center"/>
    </xf>
    <xf borderId="3" fillId="3" fontId="4" numFmtId="0" xfId="0" applyAlignment="1" applyBorder="1" applyFont="1">
      <alignment horizontal="center" vertical="center"/>
    </xf>
    <xf borderId="3" fillId="3" fontId="4" numFmtId="0" xfId="0" applyBorder="1" applyFont="1"/>
    <xf borderId="3" fillId="3" fontId="4" numFmtId="4" xfId="0" applyAlignment="1" applyBorder="1" applyFont="1" applyNumberFormat="1">
      <alignment horizontal="center"/>
    </xf>
    <xf borderId="0" fillId="0" fontId="1" numFmtId="49" xfId="0" applyAlignment="1" applyFont="1" applyNumberFormat="1">
      <alignment readingOrder="0"/>
    </xf>
    <xf borderId="0" fillId="0" fontId="5" numFmtId="49" xfId="0" applyFont="1" applyNumberForma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0" fillId="4" fontId="6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1" numFmtId="3" xfId="0" applyFont="1" applyNumberFormat="1"/>
    <xf borderId="0" fillId="0" fontId="1" numFmtId="164" xfId="0" applyFont="1" applyNumberFormat="1"/>
    <xf borderId="3" fillId="5" fontId="2" numFmtId="0" xfId="0" applyBorder="1" applyFill="1" applyFont="1"/>
    <xf borderId="3" fillId="5" fontId="2" numFmtId="3" xfId="0" applyBorder="1" applyFont="1" applyNumberFormat="1"/>
    <xf borderId="3" fillId="5" fontId="2" numFmtId="164" xfId="0" applyBorder="1" applyFont="1" applyNumberFormat="1"/>
    <xf borderId="3" fillId="5" fontId="2" numFmtId="49" xfId="0" applyBorder="1" applyFont="1" applyNumberFormat="1"/>
    <xf borderId="0" fillId="0" fontId="1" numFmtId="4" xfId="0" applyAlignment="1" applyFont="1" applyNumberFormat="1">
      <alignment horizontal="right"/>
    </xf>
    <xf borderId="0" fillId="0" fontId="1" numFmtId="3" xfId="0" applyAlignment="1" applyFont="1" applyNumberFormat="1">
      <alignment horizontal="right"/>
    </xf>
    <xf borderId="0" fillId="0" fontId="5" numFmtId="0" xfId="0" applyFont="1"/>
    <xf borderId="3" fillId="6" fontId="1" numFmtId="0" xfId="0" applyBorder="1" applyFill="1" applyFont="1"/>
    <xf borderId="0" fillId="0" fontId="8" numFmtId="0" xfId="0" applyFont="1"/>
    <xf borderId="0" fillId="0" fontId="1" numFmtId="3" xfId="0" applyAlignment="1" applyFont="1" applyNumberFormat="1">
      <alignment readingOrder="0"/>
    </xf>
    <xf borderId="1" fillId="7" fontId="4" numFmtId="0" xfId="0" applyBorder="1" applyFill="1" applyFont="1"/>
    <xf borderId="3" fillId="8" fontId="2" numFmtId="0" xfId="0" applyAlignment="1" applyBorder="1" applyFill="1" applyFont="1">
      <alignment horizontal="center"/>
    </xf>
    <xf borderId="3" fillId="8" fontId="2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9" numFmtId="0" xfId="0" applyFont="1"/>
    <xf borderId="0" fillId="0" fontId="9" numFmtId="3" xfId="0" applyFont="1" applyNumberFormat="1"/>
    <xf borderId="3" fillId="9" fontId="9" numFmtId="0" xfId="0" applyBorder="1" applyFill="1" applyFont="1"/>
    <xf borderId="3" fillId="9" fontId="9" numFmtId="3" xfId="0" applyBorder="1" applyFont="1" applyNumberFormat="1"/>
    <xf borderId="0" fillId="0" fontId="4" numFmtId="0" xfId="0" applyAlignment="1" applyFont="1">
      <alignment horizontal="right"/>
    </xf>
    <xf borderId="0" fillId="0" fontId="10" numFmtId="0" xfId="0" applyFont="1"/>
    <xf borderId="0" fillId="0" fontId="10" numFmtId="0" xfId="0" applyAlignment="1" applyFont="1">
      <alignment horizontal="center"/>
    </xf>
    <xf borderId="3" fillId="10" fontId="11" numFmtId="0" xfId="0" applyBorder="1" applyFill="1" applyFont="1"/>
    <xf borderId="3" fillId="10" fontId="11" numFmtId="49" xfId="0" applyAlignment="1" applyBorder="1" applyFont="1" applyNumberFormat="1">
      <alignment horizontal="center"/>
    </xf>
    <xf borderId="0" fillId="0" fontId="1" numFmtId="0" xfId="0" applyFont="1"/>
    <xf borderId="3" fillId="11" fontId="5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3" fillId="12" fontId="5" numFmtId="0" xfId="0" applyAlignment="1" applyBorder="1" applyFill="1" applyFont="1">
      <alignment horizontal="center"/>
    </xf>
    <xf borderId="3" fillId="12" fontId="10" numFmtId="0" xfId="0" applyAlignment="1" applyBorder="1" applyFont="1">
      <alignment horizontal="center"/>
    </xf>
    <xf borderId="3" fillId="11" fontId="10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12" numFmtId="0" xfId="0" applyAlignment="1" applyFont="1">
      <alignment horizontal="center"/>
    </xf>
    <xf borderId="3" fillId="6" fontId="4" numFmtId="0" xfId="0" applyBorder="1" applyFont="1"/>
    <xf borderId="3" fillId="6" fontId="1" numFmtId="49" xfId="0" applyBorder="1" applyFont="1" applyNumberFormat="1"/>
    <xf borderId="3" fillId="6" fontId="1" numFmtId="0" xfId="0" applyAlignment="1" applyBorder="1" applyFont="1">
      <alignment horizontal="center"/>
    </xf>
    <xf borderId="3" fillId="13" fontId="1" numFmtId="0" xfId="0" applyAlignment="1" applyBorder="1" applyFill="1" applyFont="1">
      <alignment horizontal="center"/>
    </xf>
    <xf borderId="3" fillId="13" fontId="1" numFmtId="49" xfId="0" applyAlignment="1" applyBorder="1" applyFont="1" applyNumberFormat="1">
      <alignment horizontal="center"/>
    </xf>
    <xf borderId="3" fillId="13" fontId="1" numFmtId="0" xfId="0" applyBorder="1" applyFont="1"/>
    <xf borderId="3" fillId="13" fontId="1" numFmtId="3" xfId="0" applyAlignment="1" applyBorder="1" applyFont="1" applyNumberFormat="1">
      <alignment horizontal="center"/>
    </xf>
    <xf borderId="3" fillId="13" fontId="1" numFmtId="4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center"/>
    </xf>
    <xf quotePrefix="1" borderId="0" fillId="0" fontId="1" numFmtId="0" xfId="0" applyAlignment="1" applyFont="1">
      <alignment horizontal="center"/>
    </xf>
    <xf borderId="1" fillId="14" fontId="2" numFmtId="0" xfId="0" applyAlignment="1" applyBorder="1" applyFill="1" applyFont="1">
      <alignment horizontal="center"/>
    </xf>
    <xf borderId="1" fillId="15" fontId="4" numFmtId="0" xfId="0" applyAlignment="1" applyBorder="1" applyFill="1" applyFont="1">
      <alignment horizontal="left"/>
    </xf>
    <xf borderId="0" fillId="16" fontId="13" numFmtId="0" xfId="0" applyFill="1" applyFont="1"/>
    <xf borderId="3" fillId="17" fontId="14" numFmtId="0" xfId="0" applyBorder="1" applyFill="1" applyFont="1"/>
    <xf borderId="3" fillId="17" fontId="5" numFmtId="0" xfId="0" applyBorder="1" applyFont="1"/>
    <xf borderId="0" fillId="0" fontId="13" numFmtId="0" xfId="0" applyAlignment="1" applyFont="1">
      <alignment vertical="bottom"/>
    </xf>
    <xf borderId="0" fillId="0" fontId="14" numFmtId="0" xfId="0" applyFont="1"/>
    <xf borderId="0" fillId="0" fontId="14" numFmtId="0" xfId="0" applyAlignment="1" applyFont="1">
      <alignment horizontal="left"/>
    </xf>
    <xf borderId="0" fillId="0" fontId="14" numFmtId="165" xfId="0" applyAlignment="1" applyFont="1" applyNumberFormat="1">
      <alignment horizontal="left"/>
    </xf>
    <xf borderId="0" fillId="0" fontId="14" numFmtId="14" xfId="0" applyAlignment="1" applyFont="1" applyNumberFormat="1">
      <alignment horizontal="left"/>
    </xf>
    <xf borderId="3" fillId="9" fontId="13" numFmtId="0" xfId="0" applyAlignment="1" applyBorder="1" applyFont="1">
      <alignment horizontal="center" vertical="bottom"/>
    </xf>
    <xf borderId="3" fillId="9" fontId="15" numFmtId="0" xfId="0" applyAlignment="1" applyBorder="1" applyFont="1">
      <alignment horizontal="center" vertical="bottom"/>
    </xf>
    <xf borderId="3" fillId="9" fontId="14" numFmtId="0" xfId="0" applyAlignment="1" applyBorder="1" applyFont="1">
      <alignment horizontal="center"/>
    </xf>
    <xf borderId="3" fillId="9" fontId="16" numFmtId="0" xfId="0" applyAlignment="1" applyBorder="1" applyFont="1">
      <alignment horizontal="center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3" xfId="0" applyAlignment="1" applyFont="1" applyNumberFormat="1">
      <alignment horizontal="left"/>
    </xf>
    <xf borderId="0" fillId="0" fontId="5" numFmtId="0" xfId="0" applyAlignment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center"/>
    </xf>
    <xf borderId="3" fillId="18" fontId="14" numFmtId="0" xfId="0" applyAlignment="1" applyBorder="1" applyFill="1" applyFont="1">
      <alignment horizontal="center"/>
    </xf>
    <xf borderId="3" fillId="18" fontId="13" numFmtId="0" xfId="0" applyAlignment="1" applyBorder="1" applyFont="1">
      <alignment horizontal="center" vertical="bottom"/>
    </xf>
    <xf borderId="0" fillId="0" fontId="14" numFmtId="0" xfId="0" applyAlignment="1" applyFont="1">
      <alignment horizontal="center"/>
    </xf>
    <xf borderId="0" fillId="9" fontId="14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4" numFmtId="165" xfId="0" applyAlignment="1" applyFont="1" applyNumberForma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3">
    <tableStyle count="2" pivot="0" name="Stock-style">
      <tableStyleElement dxfId="5" type="firstRowStripe"/>
      <tableStyleElement dxfId="6" type="secondRowStripe"/>
    </tableStyle>
    <tableStyle count="2" pivot="0" name="InOut Inv-style">
      <tableStyleElement dxfId="6" type="firstRowStripe"/>
      <tableStyleElement dxfId="5" type="secondRowStripe"/>
    </tableStyle>
    <tableStyle count="2" pivot="0" name="Incoming-style"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G24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tock-style" showColumnStripes="0" showFirstColumn="1" showLastColumn="1" showRowStripes="1"/>
</table>
</file>

<file path=xl/tables/table2.xml><?xml version="1.0" encoding="utf-8"?>
<table xmlns="http://schemas.openxmlformats.org/spreadsheetml/2006/main" headerRowCount="0" ref="E130:E140" displayName="Table_2" name="Table_2" id="2">
  <tableColumns count="1">
    <tableColumn name="Column1" id="1"/>
  </tableColumns>
  <tableStyleInfo name="InOut Inv-style" showColumnStripes="0" showFirstColumn="1" showLastColumn="1" showRowStripes="1"/>
</table>
</file>

<file path=xl/tables/table3.xml><?xml version="1.0" encoding="utf-8"?>
<table xmlns="http://schemas.openxmlformats.org/spreadsheetml/2006/main" headerRowCount="0" ref="E130:E140" displayName="Table_3" name="Table_3" id="3">
  <tableColumns count="1">
    <tableColumn name="Column1" id="1"/>
  </tableColumns>
  <tableStyleInfo name="Incom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0.38"/>
    <col customWidth="1" min="4" max="4" width="4.38"/>
    <col customWidth="1" min="5" max="5" width="9.25"/>
    <col customWidth="1" min="6" max="6" width="3.63"/>
    <col customWidth="1" min="7" max="7" width="3.5"/>
    <col customWidth="1" min="8" max="8" width="34.38"/>
    <col customWidth="1" min="9" max="9" width="5.38"/>
    <col customWidth="1" min="10" max="14" width="9.63"/>
    <col customWidth="1" min="15" max="15" width="7.63"/>
  </cols>
  <sheetData>
    <row r="1" ht="10.5" customHeight="1">
      <c r="A1" s="1"/>
      <c r="B1" s="2"/>
      <c r="C1" s="2"/>
      <c r="D1" s="3"/>
      <c r="E1" s="1"/>
      <c r="F1" s="1"/>
      <c r="G1" s="1"/>
      <c r="H1" s="1"/>
      <c r="I1" s="4"/>
      <c r="J1" s="5"/>
      <c r="K1" s="5"/>
      <c r="L1" s="5"/>
      <c r="M1" s="5"/>
      <c r="N1" s="5"/>
      <c r="O1" s="1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5.75" customHeight="1">
      <c r="A2" s="6" t="s">
        <v>0</v>
      </c>
      <c r="B2" s="7"/>
      <c r="C2" s="7"/>
      <c r="D2" s="7"/>
      <c r="E2" s="7"/>
      <c r="F2" s="1"/>
      <c r="G2" s="1"/>
      <c r="H2" s="1"/>
      <c r="I2" s="4"/>
      <c r="J2" s="5"/>
      <c r="K2" s="5"/>
      <c r="L2" s="5"/>
      <c r="M2" s="5"/>
      <c r="N2" s="5"/>
      <c r="O2" s="1"/>
      <c r="P2" s="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75" customHeight="1">
      <c r="A3" s="1"/>
      <c r="B3" s="2"/>
      <c r="C3" s="2"/>
      <c r="D3" s="3"/>
      <c r="E3" s="1"/>
      <c r="F3" s="1"/>
      <c r="G3" s="1"/>
      <c r="H3" s="1"/>
      <c r="I3" s="4"/>
      <c r="J3" s="5"/>
      <c r="K3" s="5"/>
      <c r="L3" s="5"/>
      <c r="M3" s="5"/>
      <c r="N3" s="5"/>
      <c r="O3" s="1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5.75" customHeight="1">
      <c r="A4" s="8" t="s">
        <v>1</v>
      </c>
      <c r="B4" s="9" t="s">
        <v>2</v>
      </c>
      <c r="C4" s="9"/>
      <c r="D4" s="10" t="s">
        <v>3</v>
      </c>
      <c r="E4" s="8" t="s">
        <v>4</v>
      </c>
      <c r="F4" s="11" t="s">
        <v>5</v>
      </c>
      <c r="G4" s="11" t="s">
        <v>6</v>
      </c>
      <c r="H4" s="11" t="s">
        <v>7</v>
      </c>
      <c r="I4" s="8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8" t="s">
        <v>14</v>
      </c>
      <c r="P4" s="5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5.75" customHeight="1">
      <c r="A5" s="13" t="s">
        <v>16</v>
      </c>
      <c r="B5" s="13" t="s">
        <v>17</v>
      </c>
      <c r="C5" s="14"/>
      <c r="D5" s="3">
        <v>1.0</v>
      </c>
      <c r="E5" s="1" t="s">
        <v>18</v>
      </c>
      <c r="F5" s="1" t="str">
        <f t="shared" ref="F5:F577" si="1">A5&amp;E5</f>
        <v>01/02/26PK5043</v>
      </c>
      <c r="G5" s="1" t="str">
        <f t="shared" ref="G5:G577" si="2">O5&amp;A5</f>
        <v>C01/02/26</v>
      </c>
      <c r="H5" s="1" t="str">
        <f>IFNA(VLOOKUP(TRIM(E5),Master!D:M,4,0),"")</f>
        <v>PUPUK KAMBING 5KG</v>
      </c>
      <c r="I5" s="4">
        <v>1.0</v>
      </c>
      <c r="J5" s="5">
        <f>IFNA(VLOOKUP(E5,Master!D:U,14,0),0)</f>
        <v>15000</v>
      </c>
      <c r="K5" s="5">
        <v>0.0</v>
      </c>
      <c r="L5" s="5">
        <f t="shared" ref="L5:L577" si="3">J5*I5-K5</f>
        <v>15000</v>
      </c>
      <c r="M5" s="5">
        <f>IFNA(VLOOKUP(TRIM(E5),Master!D:U,13,0),"")</f>
        <v>8000</v>
      </c>
      <c r="N5" s="5">
        <f t="shared" ref="N5:N577" si="4">L5-(M5*I5)</f>
        <v>7000</v>
      </c>
      <c r="O5" s="4" t="s">
        <v>19</v>
      </c>
      <c r="P5" s="5">
        <f t="shared" ref="P5:P531" si="5">IFERROR((J5-M5)/J5*100,0)</f>
        <v>46.66666667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15.75" customHeight="1">
      <c r="A6" s="13" t="s">
        <v>16</v>
      </c>
      <c r="B6" s="2"/>
      <c r="C6" s="14"/>
      <c r="D6" s="3"/>
      <c r="E6" s="1" t="s">
        <v>20</v>
      </c>
      <c r="F6" s="1" t="str">
        <f t="shared" si="1"/>
        <v>01/02/26PL3182</v>
      </c>
      <c r="G6" s="1" t="str">
        <f t="shared" si="2"/>
        <v>C01/02/26</v>
      </c>
      <c r="H6" s="1" t="str">
        <f>IFNA(VLOOKUP(TRIM(E6),Master!D:M,4,0),"")</f>
        <v>POT MOTIF BUNGA HITAM 25</v>
      </c>
      <c r="I6" s="4">
        <v>1.0</v>
      </c>
      <c r="J6" s="5">
        <f>IFNA(VLOOKUP(E6,Master!D:U,14,0),0)</f>
        <v>7000</v>
      </c>
      <c r="K6" s="5">
        <v>0.0</v>
      </c>
      <c r="L6" s="5">
        <f t="shared" si="3"/>
        <v>7000</v>
      </c>
      <c r="M6" s="5">
        <f>IFNA(VLOOKUP(TRIM(E6),Master!D:U,13,0),"")</f>
        <v>5250</v>
      </c>
      <c r="N6" s="5">
        <f t="shared" si="4"/>
        <v>1750</v>
      </c>
      <c r="O6" s="4" t="s">
        <v>19</v>
      </c>
      <c r="P6" s="5">
        <f t="shared" si="5"/>
        <v>25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15.75" customHeight="1">
      <c r="A7" s="13" t="s">
        <v>16</v>
      </c>
      <c r="B7" s="13" t="s">
        <v>21</v>
      </c>
      <c r="C7" s="14"/>
      <c r="D7" s="15">
        <v>1.0</v>
      </c>
      <c r="E7" s="1" t="s">
        <v>22</v>
      </c>
      <c r="F7" s="1" t="str">
        <f t="shared" si="1"/>
        <v>01/02/26MT2037</v>
      </c>
      <c r="G7" s="1" t="str">
        <f t="shared" si="2"/>
        <v>I01/02/26</v>
      </c>
      <c r="H7" s="1" t="str">
        <f>IFNA(VLOOKUP(TRIM(E7),Master!D:M,4,0),"")</f>
        <v>PUPUK KOMPOS 5KG</v>
      </c>
      <c r="I7" s="4">
        <v>1.0</v>
      </c>
      <c r="J7" s="5">
        <f>IFNA(VLOOKUP(E7,Master!D:U,14,0),0)</f>
        <v>10000</v>
      </c>
      <c r="K7" s="5">
        <v>0.0</v>
      </c>
      <c r="L7" s="5">
        <f t="shared" si="3"/>
        <v>10000</v>
      </c>
      <c r="M7" s="5">
        <f>IFNA(VLOOKUP(TRIM(E7),Master!D:U,13,0),"")</f>
        <v>5000</v>
      </c>
      <c r="N7" s="5">
        <f t="shared" si="4"/>
        <v>5000</v>
      </c>
      <c r="O7" s="16" t="s">
        <v>23</v>
      </c>
      <c r="P7" s="5">
        <f t="shared" si="5"/>
        <v>50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15.75" customHeight="1">
      <c r="A8" s="13" t="s">
        <v>16</v>
      </c>
      <c r="B8" s="13" t="s">
        <v>24</v>
      </c>
      <c r="C8" s="14"/>
      <c r="D8" s="15">
        <v>1.0</v>
      </c>
      <c r="E8" s="1" t="s">
        <v>20</v>
      </c>
      <c r="F8" s="1" t="str">
        <f t="shared" si="1"/>
        <v>01/02/26PL3182</v>
      </c>
      <c r="G8" s="1" t="str">
        <f t="shared" si="2"/>
        <v>C01/02/26</v>
      </c>
      <c r="H8" s="1" t="str">
        <f>IFNA(VLOOKUP(TRIM(E8),Master!D:M,4,0),"")</f>
        <v>POT MOTIF BUNGA HITAM 25</v>
      </c>
      <c r="I8" s="16">
        <v>2.0</v>
      </c>
      <c r="J8" s="5">
        <f>IFNA(VLOOKUP(E8,Master!D:U,14,0),0)</f>
        <v>7000</v>
      </c>
      <c r="K8" s="5">
        <v>0.0</v>
      </c>
      <c r="L8" s="5">
        <f t="shared" si="3"/>
        <v>14000</v>
      </c>
      <c r="M8" s="5">
        <f>IFNA(VLOOKUP(TRIM(E8),Master!D:U,13,0),"")</f>
        <v>5250</v>
      </c>
      <c r="N8" s="5">
        <f t="shared" si="4"/>
        <v>3500</v>
      </c>
      <c r="O8" s="4" t="s">
        <v>19</v>
      </c>
      <c r="P8" s="5">
        <f t="shared" si="5"/>
        <v>25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15.75" customHeight="1">
      <c r="A9" s="13" t="s">
        <v>16</v>
      </c>
      <c r="B9" s="13" t="s">
        <v>24</v>
      </c>
      <c r="C9" s="14"/>
      <c r="D9" s="15">
        <v>1.0</v>
      </c>
      <c r="E9" s="1" t="s">
        <v>25</v>
      </c>
      <c r="F9" s="1" t="str">
        <f t="shared" si="1"/>
        <v>01/02/26PK5041</v>
      </c>
      <c r="G9" s="1" t="str">
        <f t="shared" si="2"/>
        <v>C01/02/26</v>
      </c>
      <c r="H9" s="1" t="str">
        <f>IFNA(VLOOKUP(TRIM(E9),Master!D:M,4,0),"")</f>
        <v>PUPUK BOOSTER 76 250ML</v>
      </c>
      <c r="I9" s="4">
        <v>1.0</v>
      </c>
      <c r="J9" s="5">
        <f>IFNA(VLOOKUP(E9,Master!D:U,14,0),0)</f>
        <v>45000</v>
      </c>
      <c r="K9" s="5">
        <v>0.0</v>
      </c>
      <c r="L9" s="5">
        <f t="shared" si="3"/>
        <v>45000</v>
      </c>
      <c r="M9" s="5">
        <f>IFNA(VLOOKUP(TRIM(E9),Master!D:U,13,0),"")</f>
        <v>25000</v>
      </c>
      <c r="N9" s="5">
        <f t="shared" si="4"/>
        <v>20000</v>
      </c>
      <c r="O9" s="4" t="s">
        <v>19</v>
      </c>
      <c r="P9" s="5">
        <f t="shared" si="5"/>
        <v>44.44444444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ht="15.75" customHeight="1">
      <c r="A10" s="13" t="s">
        <v>16</v>
      </c>
      <c r="B10" s="13" t="s">
        <v>26</v>
      </c>
      <c r="C10" s="14"/>
      <c r="D10" s="15">
        <v>1.0</v>
      </c>
      <c r="E10" s="1" t="s">
        <v>27</v>
      </c>
      <c r="F10" s="1" t="str">
        <f t="shared" si="1"/>
        <v>01/02/26PK5069</v>
      </c>
      <c r="G10" s="1" t="str">
        <f t="shared" si="2"/>
        <v>O01/02/26</v>
      </c>
      <c r="H10" s="1" t="str">
        <f>IFNA(VLOOKUP(TRIM(E10),Master!D:M,4,0),"")</f>
        <v>ROOTUP 100GR</v>
      </c>
      <c r="I10" s="4">
        <v>1.0</v>
      </c>
      <c r="J10" s="5">
        <f>IFNA(VLOOKUP(E10,Master!D:U,14,0),0)</f>
        <v>35000</v>
      </c>
      <c r="K10" s="5">
        <v>0.0</v>
      </c>
      <c r="L10" s="5">
        <f t="shared" si="3"/>
        <v>35000</v>
      </c>
      <c r="M10" s="5">
        <f>IFNA(VLOOKUP(TRIM(E10),Master!D:U,13,0),"")</f>
        <v>16200</v>
      </c>
      <c r="N10" s="5">
        <f t="shared" si="4"/>
        <v>18800</v>
      </c>
      <c r="O10" s="16" t="s">
        <v>28</v>
      </c>
      <c r="P10" s="5">
        <f t="shared" si="5"/>
        <v>53.71428571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ht="15.75" customHeight="1">
      <c r="A11" s="13" t="s">
        <v>16</v>
      </c>
      <c r="B11" s="2"/>
      <c r="C11" s="14"/>
      <c r="D11" s="3"/>
      <c r="E11" s="1" t="s">
        <v>29</v>
      </c>
      <c r="F11" s="1" t="str">
        <f t="shared" si="1"/>
        <v>01/02/26PL3028</v>
      </c>
      <c r="G11" s="1" t="str">
        <f t="shared" si="2"/>
        <v>O01/02/26</v>
      </c>
      <c r="H11" s="1" t="str">
        <f>IFNA(VLOOKUP(TRIM(E11),Master!D:M,4,0),"")</f>
        <v>KAWAT BONSAI HITAM NO.2 ECERAN</v>
      </c>
      <c r="I11" s="16">
        <v>5.0</v>
      </c>
      <c r="J11" s="5">
        <f>IFNA(VLOOKUP(E11,Master!D:U,14,0),0)</f>
        <v>2000</v>
      </c>
      <c r="K11" s="5">
        <v>0.0</v>
      </c>
      <c r="L11" s="5">
        <f t="shared" si="3"/>
        <v>10000</v>
      </c>
      <c r="M11" s="5">
        <f>IFNA(VLOOKUP(TRIM(E11),Master!D:U,13,0),"")</f>
        <v>1220</v>
      </c>
      <c r="N11" s="5">
        <f t="shared" si="4"/>
        <v>3900</v>
      </c>
      <c r="O11" s="16" t="s">
        <v>28</v>
      </c>
      <c r="P11" s="5">
        <f t="shared" si="5"/>
        <v>39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ht="15.75" customHeight="1">
      <c r="A12" s="13" t="s">
        <v>16</v>
      </c>
      <c r="B12" s="2"/>
      <c r="C12" s="14"/>
      <c r="D12" s="3"/>
      <c r="E12" s="1" t="s">
        <v>30</v>
      </c>
      <c r="F12" s="1" t="str">
        <f t="shared" si="1"/>
        <v>01/02/26PL3115</v>
      </c>
      <c r="G12" s="1" t="str">
        <f t="shared" si="2"/>
        <v>O01/02/26</v>
      </c>
      <c r="H12" s="1" t="str">
        <f>IFNA(VLOOKUP(TRIM(E12),Master!D:M,4,0),"")</f>
        <v>POLYBAG 40</v>
      </c>
      <c r="I12" s="16">
        <v>5.0</v>
      </c>
      <c r="J12" s="5">
        <f>IFNA(VLOOKUP(E12,Master!D:U,14,0),0)</f>
        <v>1000</v>
      </c>
      <c r="K12" s="5">
        <v>0.0</v>
      </c>
      <c r="L12" s="5">
        <f t="shared" si="3"/>
        <v>5000</v>
      </c>
      <c r="M12" s="5">
        <f>IFNA(VLOOKUP(TRIM(E12),Master!D:U,13,0),"")</f>
        <v>500</v>
      </c>
      <c r="N12" s="5">
        <f t="shared" si="4"/>
        <v>2500</v>
      </c>
      <c r="O12" s="16" t="s">
        <v>28</v>
      </c>
      <c r="P12" s="5">
        <f t="shared" si="5"/>
        <v>50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ht="15.75" customHeight="1">
      <c r="A13" s="13" t="s">
        <v>16</v>
      </c>
      <c r="B13" s="2"/>
      <c r="C13" s="14"/>
      <c r="D13" s="3"/>
      <c r="E13" s="17" t="s">
        <v>31</v>
      </c>
      <c r="F13" s="1" t="str">
        <f t="shared" si="1"/>
        <v>01/02/26PL3117</v>
      </c>
      <c r="G13" s="1" t="str">
        <f t="shared" si="2"/>
        <v>O01/02/26</v>
      </c>
      <c r="H13" s="1" t="str">
        <f>IFNA(VLOOKUP(TRIM(E13),Master!D:M,4,0),"")</f>
        <v>POLYBAG 50</v>
      </c>
      <c r="I13" s="16">
        <v>5.0</v>
      </c>
      <c r="J13" s="5">
        <f>IFNA(VLOOKUP(E13,Master!D:U,14,0),0)</f>
        <v>2000</v>
      </c>
      <c r="K13" s="5">
        <v>0.0</v>
      </c>
      <c r="L13" s="5">
        <f t="shared" si="3"/>
        <v>10000</v>
      </c>
      <c r="M13" s="5">
        <f>IFNA(VLOOKUP(TRIM(E13),Master!D:U,13,0),"")</f>
        <v>1316</v>
      </c>
      <c r="N13" s="5">
        <f t="shared" si="4"/>
        <v>3420</v>
      </c>
      <c r="O13" s="16" t="s">
        <v>28</v>
      </c>
      <c r="P13" s="5">
        <f t="shared" si="5"/>
        <v>34.2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ht="15.75" customHeight="1">
      <c r="A14" s="13" t="s">
        <v>16</v>
      </c>
      <c r="B14" s="13" t="s">
        <v>32</v>
      </c>
      <c r="C14" s="14"/>
      <c r="D14" s="15">
        <v>1.0</v>
      </c>
      <c r="E14" s="1" t="s">
        <v>33</v>
      </c>
      <c r="F14" s="1" t="str">
        <f t="shared" si="1"/>
        <v>01/02/26PL3040</v>
      </c>
      <c r="G14" s="1" t="str">
        <f t="shared" si="2"/>
        <v>C01/02/26</v>
      </c>
      <c r="H14" s="1" t="str">
        <f>IFNA(VLOOKUP(TRIM(E14),Master!D:M,4,0),"")</f>
        <v>KAWAT BONSAI SILVER NO.1.5 ECERAN</v>
      </c>
      <c r="I14" s="16">
        <v>20.0</v>
      </c>
      <c r="J14" s="5">
        <f>IFNA(VLOOKUP(E14,Master!D:U,14,0),0)</f>
        <v>750</v>
      </c>
      <c r="K14" s="5">
        <v>0.0</v>
      </c>
      <c r="L14" s="5">
        <f t="shared" si="3"/>
        <v>15000</v>
      </c>
      <c r="M14" s="5">
        <f>IFNA(VLOOKUP(TRIM(E14),Master!D:U,13,0),"")</f>
        <v>444</v>
      </c>
      <c r="N14" s="5">
        <f t="shared" si="4"/>
        <v>6120</v>
      </c>
      <c r="O14" s="4" t="s">
        <v>19</v>
      </c>
      <c r="P14" s="5">
        <f t="shared" si="5"/>
        <v>40.8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ht="15.75" customHeight="1">
      <c r="A15" s="13" t="s">
        <v>16</v>
      </c>
      <c r="B15" s="13" t="s">
        <v>32</v>
      </c>
      <c r="C15" s="14"/>
      <c r="D15" s="15">
        <v>1.0</v>
      </c>
      <c r="E15" s="1" t="s">
        <v>34</v>
      </c>
      <c r="F15" s="1" t="str">
        <f t="shared" si="1"/>
        <v>01/02/26MT2053</v>
      </c>
      <c r="G15" s="1" t="str">
        <f t="shared" si="2"/>
        <v>C01/02/26</v>
      </c>
      <c r="H15" s="1" t="str">
        <f>IFNA(VLOOKUP(TRIM(E15),Master!D:M,4,0),"")</f>
        <v>TANAH SUBUR 25KG BINTANG TANI</v>
      </c>
      <c r="I15" s="4">
        <v>1.0</v>
      </c>
      <c r="J15" s="5">
        <f>IFNA(VLOOKUP(E15,Master!D:U,14,0),0)</f>
        <v>25000</v>
      </c>
      <c r="K15" s="5">
        <v>0.0</v>
      </c>
      <c r="L15" s="5">
        <f t="shared" si="3"/>
        <v>25000</v>
      </c>
      <c r="M15" s="5">
        <f>IFNA(VLOOKUP(TRIM(E15),Master!D:U,13,0),"")</f>
        <v>15000</v>
      </c>
      <c r="N15" s="5">
        <f t="shared" si="4"/>
        <v>10000</v>
      </c>
      <c r="O15" s="4" t="s">
        <v>19</v>
      </c>
      <c r="P15" s="5">
        <f t="shared" si="5"/>
        <v>40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ht="15.75" customHeight="1">
      <c r="A16" s="13" t="s">
        <v>16</v>
      </c>
      <c r="B16" s="2"/>
      <c r="C16" s="14"/>
      <c r="D16" s="3"/>
      <c r="E16" s="17" t="s">
        <v>35</v>
      </c>
      <c r="F16" s="1" t="str">
        <f t="shared" si="1"/>
        <v>01/02/26PL3113</v>
      </c>
      <c r="G16" s="1" t="str">
        <f t="shared" si="2"/>
        <v>C01/02/26</v>
      </c>
      <c r="H16" s="1" t="str">
        <f>IFNA(VLOOKUP(TRIM(E16),Master!D:M,4,0),"")</f>
        <v>POLYBAG 30</v>
      </c>
      <c r="I16" s="4">
        <v>1.0</v>
      </c>
      <c r="J16" s="5">
        <f>IFNA(VLOOKUP(E16,Master!D:U,14,0),0)</f>
        <v>5000</v>
      </c>
      <c r="K16" s="5">
        <v>0.0</v>
      </c>
      <c r="L16" s="5">
        <f t="shared" si="3"/>
        <v>5000</v>
      </c>
      <c r="M16" s="5">
        <f>IFNA(VLOOKUP(TRIM(E16),Master!D:U,13,0),"")</f>
        <v>3500</v>
      </c>
      <c r="N16" s="5">
        <f t="shared" si="4"/>
        <v>1500</v>
      </c>
      <c r="O16" s="4" t="s">
        <v>19</v>
      </c>
      <c r="P16" s="5">
        <f t="shared" si="5"/>
        <v>30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15.75" customHeight="1">
      <c r="A17" s="13" t="s">
        <v>16</v>
      </c>
      <c r="B17" s="13" t="s">
        <v>36</v>
      </c>
      <c r="C17" s="14"/>
      <c r="D17" s="15">
        <v>1.0</v>
      </c>
      <c r="E17" s="1" t="s">
        <v>37</v>
      </c>
      <c r="F17" s="1" t="str">
        <f t="shared" si="1"/>
        <v>01/02/26MT2050</v>
      </c>
      <c r="G17" s="1" t="str">
        <f t="shared" si="2"/>
        <v>C01/02/26</v>
      </c>
      <c r="H17" s="1" t="str">
        <f>IFNA(VLOOKUP(TRIM(E17),Master!D:M,4,0),"")</f>
        <v>TANAH SUBUR 10KG BINTANG TANI</v>
      </c>
      <c r="I17" s="4">
        <v>1.0</v>
      </c>
      <c r="J17" s="5">
        <f>IFNA(VLOOKUP(E17,Master!D:U,14,0),0)</f>
        <v>10000</v>
      </c>
      <c r="K17" s="5">
        <v>0.0</v>
      </c>
      <c r="L17" s="5">
        <f t="shared" si="3"/>
        <v>10000</v>
      </c>
      <c r="M17" s="5">
        <f>IFNA(VLOOKUP(TRIM(E17),Master!D:U,13,0),"")</f>
        <v>6000</v>
      </c>
      <c r="N17" s="5">
        <f t="shared" si="4"/>
        <v>4000</v>
      </c>
      <c r="O17" s="4" t="s">
        <v>19</v>
      </c>
      <c r="P17" s="5">
        <f t="shared" si="5"/>
        <v>40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15.75" customHeight="1">
      <c r="A18" s="13" t="s">
        <v>16</v>
      </c>
      <c r="B18" s="13" t="s">
        <v>38</v>
      </c>
      <c r="C18" s="14"/>
      <c r="D18" s="15">
        <v>1.0</v>
      </c>
      <c r="E18" s="1" t="s">
        <v>34</v>
      </c>
      <c r="F18" s="1" t="str">
        <f t="shared" si="1"/>
        <v>01/02/26MT2053</v>
      </c>
      <c r="G18" s="1" t="str">
        <f t="shared" si="2"/>
        <v>C01/02/26</v>
      </c>
      <c r="H18" s="1" t="str">
        <f>IFNA(VLOOKUP(TRIM(E18),Master!D:M,4,0),"")</f>
        <v>TANAH SUBUR 25KG BINTANG TANI</v>
      </c>
      <c r="I18" s="4">
        <v>1.0</v>
      </c>
      <c r="J18" s="5">
        <f>IFNA(VLOOKUP(E18,Master!D:U,14,0),0)</f>
        <v>25000</v>
      </c>
      <c r="K18" s="5">
        <v>0.0</v>
      </c>
      <c r="L18" s="5">
        <f t="shared" si="3"/>
        <v>25000</v>
      </c>
      <c r="M18" s="5">
        <f>IFNA(VLOOKUP(TRIM(E18),Master!D:U,13,0),"")</f>
        <v>15000</v>
      </c>
      <c r="N18" s="5">
        <f t="shared" si="4"/>
        <v>10000</v>
      </c>
      <c r="O18" s="4" t="s">
        <v>19</v>
      </c>
      <c r="P18" s="5">
        <f t="shared" si="5"/>
        <v>40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15.75" customHeight="1">
      <c r="A19" s="13" t="s">
        <v>16</v>
      </c>
      <c r="B19" s="2"/>
      <c r="C19" s="14"/>
      <c r="D19" s="3"/>
      <c r="E19" s="1" t="s">
        <v>39</v>
      </c>
      <c r="F19" s="1" t="str">
        <f t="shared" si="1"/>
        <v>01/02/26PL3066</v>
      </c>
      <c r="G19" s="1" t="str">
        <f t="shared" si="2"/>
        <v>C01/02/26</v>
      </c>
      <c r="H19" s="1" t="str">
        <f>IFNA(VLOOKUP(TRIM(E19),Master!D:M,4,0),"")</f>
        <v>BIBIT BINTANG ASIA</v>
      </c>
      <c r="I19" s="4">
        <v>1.0</v>
      </c>
      <c r="J19" s="5">
        <f>IFNA(VLOOKUP(E19,Master!D:U,14,0),0)</f>
        <v>15000</v>
      </c>
      <c r="K19" s="5">
        <v>0.0</v>
      </c>
      <c r="L19" s="5">
        <f t="shared" si="3"/>
        <v>15000</v>
      </c>
      <c r="M19" s="5">
        <f>IFNA(VLOOKUP(TRIM(E19),Master!D:U,13,0),"")</f>
        <v>12500</v>
      </c>
      <c r="N19" s="5">
        <f t="shared" si="4"/>
        <v>2500</v>
      </c>
      <c r="O19" s="4" t="s">
        <v>19</v>
      </c>
      <c r="P19" s="5">
        <f t="shared" si="5"/>
        <v>16.66666667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15.75" customHeight="1">
      <c r="A20" s="13" t="s">
        <v>16</v>
      </c>
      <c r="B20" s="2"/>
      <c r="C20" s="14"/>
      <c r="D20" s="3"/>
      <c r="E20" s="17" t="s">
        <v>40</v>
      </c>
      <c r="F20" s="1" t="str">
        <f t="shared" si="1"/>
        <v>01/02/26PL3068</v>
      </c>
      <c r="G20" s="1" t="str">
        <f t="shared" si="2"/>
        <v>C01/02/26</v>
      </c>
      <c r="H20" s="1" t="str">
        <f>IFNA(VLOOKUP(TRIM(E20),Master!D:M,4,0),"")</f>
        <v>BIBIT PUTIH</v>
      </c>
      <c r="I20" s="16">
        <v>2.0</v>
      </c>
      <c r="J20" s="5">
        <f>IFNA(VLOOKUP(E20,Master!D:U,14,0),0)</f>
        <v>5000</v>
      </c>
      <c r="K20" s="5">
        <v>0.0</v>
      </c>
      <c r="L20" s="5">
        <f t="shared" si="3"/>
        <v>10000</v>
      </c>
      <c r="M20" s="5">
        <f>IFNA(VLOOKUP(TRIM(E20),Master!D:U,13,0),"")</f>
        <v>2000</v>
      </c>
      <c r="N20" s="5">
        <f t="shared" si="4"/>
        <v>6000</v>
      </c>
      <c r="O20" s="4" t="s">
        <v>19</v>
      </c>
      <c r="P20" s="5">
        <f t="shared" si="5"/>
        <v>60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3" t="s">
        <v>16</v>
      </c>
      <c r="B21" s="13" t="s">
        <v>41</v>
      </c>
      <c r="C21" s="14"/>
      <c r="D21" s="15">
        <v>1.0</v>
      </c>
      <c r="E21" s="17" t="s">
        <v>42</v>
      </c>
      <c r="F21" s="1" t="str">
        <f t="shared" si="1"/>
        <v>01/02/26PL3042</v>
      </c>
      <c r="G21" s="1" t="str">
        <f t="shared" si="2"/>
        <v>O01/02/26</v>
      </c>
      <c r="H21" s="1" t="str">
        <f>IFNA(VLOOKUP(TRIM(E21),Master!D:M,4,0),"")</f>
        <v>KAWAT BONSAI SILVER NO.2 ECERAN</v>
      </c>
      <c r="I21" s="16">
        <v>2.0</v>
      </c>
      <c r="J21" s="5">
        <f>IFNA(VLOOKUP(E21,Master!D:U,14,0),0)</f>
        <v>1500</v>
      </c>
      <c r="K21" s="5">
        <v>0.0</v>
      </c>
      <c r="L21" s="5">
        <f t="shared" si="3"/>
        <v>3000</v>
      </c>
      <c r="M21" s="5">
        <f>IFNA(VLOOKUP(TRIM(E21),Master!D:U,13,0),"")</f>
        <v>800</v>
      </c>
      <c r="N21" s="5">
        <f t="shared" si="4"/>
        <v>1400</v>
      </c>
      <c r="O21" s="16" t="s">
        <v>28</v>
      </c>
      <c r="P21" s="5">
        <f t="shared" si="5"/>
        <v>46.66666667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3" t="s">
        <v>16</v>
      </c>
      <c r="B22" s="2"/>
      <c r="C22" s="14"/>
      <c r="D22" s="3"/>
      <c r="E22" s="17" t="s">
        <v>43</v>
      </c>
      <c r="F22" s="1" t="str">
        <f t="shared" si="1"/>
        <v>01/02/26PL3044</v>
      </c>
      <c r="G22" s="1" t="str">
        <f t="shared" si="2"/>
        <v>O01/02/26</v>
      </c>
      <c r="H22" s="1" t="str">
        <f>IFNA(VLOOKUP(TRIM(E22),Master!D:M,4,0),"")</f>
        <v>KAWAT BONSAI SILVER NO.2.5 ECERAN</v>
      </c>
      <c r="I22" s="16">
        <v>4.0</v>
      </c>
      <c r="J22" s="5">
        <f>IFNA(VLOOKUP(E22,Master!D:U,14,0),0)</f>
        <v>2000</v>
      </c>
      <c r="K22" s="5">
        <v>0.0</v>
      </c>
      <c r="L22" s="5">
        <f t="shared" si="3"/>
        <v>8000</v>
      </c>
      <c r="M22" s="5">
        <f>IFNA(VLOOKUP(TRIM(E22),Master!D:U,13,0),"")</f>
        <v>1143</v>
      </c>
      <c r="N22" s="5">
        <f t="shared" si="4"/>
        <v>3428</v>
      </c>
      <c r="O22" s="16" t="s">
        <v>28</v>
      </c>
      <c r="P22" s="5">
        <f t="shared" si="5"/>
        <v>42.85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3" t="s">
        <v>16</v>
      </c>
      <c r="B23" s="13" t="s">
        <v>44</v>
      </c>
      <c r="C23" s="14"/>
      <c r="D23" s="15">
        <v>1.0</v>
      </c>
      <c r="E23" s="1" t="s">
        <v>45</v>
      </c>
      <c r="F23" s="1" t="str">
        <f t="shared" si="1"/>
        <v>01/02/26MT2008</v>
      </c>
      <c r="G23" s="1" t="str">
        <f t="shared" si="2"/>
        <v>C01/02/26</v>
      </c>
      <c r="H23" s="1" t="str">
        <f>IFNA(VLOOKUP(TRIM(E23),Master!D:M,4,0),"")</f>
        <v>COCOPEAT NON FERMENTASI 10KG</v>
      </c>
      <c r="I23" s="4">
        <v>1.0</v>
      </c>
      <c r="J23" s="5">
        <f>IFNA(VLOOKUP(E23,Master!D:U,14,0),0)</f>
        <v>10000</v>
      </c>
      <c r="K23" s="18">
        <v>-5000.0</v>
      </c>
      <c r="L23" s="5">
        <f t="shared" si="3"/>
        <v>15000</v>
      </c>
      <c r="M23" s="5">
        <f>IFNA(VLOOKUP(TRIM(E23),Master!D:U,13,0),"")</f>
        <v>6000</v>
      </c>
      <c r="N23" s="5">
        <f t="shared" si="4"/>
        <v>9000</v>
      </c>
      <c r="O23" s="4" t="s">
        <v>19</v>
      </c>
      <c r="P23" s="5">
        <f t="shared" si="5"/>
        <v>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3" t="s">
        <v>16</v>
      </c>
      <c r="B24" s="13" t="s">
        <v>44</v>
      </c>
      <c r="C24" s="14"/>
      <c r="D24" s="15">
        <v>1.0</v>
      </c>
      <c r="E24" s="1" t="s">
        <v>45</v>
      </c>
      <c r="F24" s="1" t="str">
        <f t="shared" si="1"/>
        <v>01/02/26MT2008</v>
      </c>
      <c r="G24" s="1" t="str">
        <f t="shared" si="2"/>
        <v>C01/02/26</v>
      </c>
      <c r="H24" s="1" t="str">
        <f>IFNA(VLOOKUP(TRIM(E24),Master!D:M,4,0),"")</f>
        <v>COCOPEAT NON FERMENTASI 10KG</v>
      </c>
      <c r="I24" s="4">
        <v>1.0</v>
      </c>
      <c r="J24" s="5">
        <f>IFNA(VLOOKUP(E24,Master!D:U,14,0),0)</f>
        <v>10000</v>
      </c>
      <c r="K24" s="18">
        <v>-5000.0</v>
      </c>
      <c r="L24" s="5">
        <f t="shared" si="3"/>
        <v>15000</v>
      </c>
      <c r="M24" s="5">
        <f>IFNA(VLOOKUP(TRIM(E24),Master!D:U,13,0),"")</f>
        <v>6000</v>
      </c>
      <c r="N24" s="5">
        <f t="shared" si="4"/>
        <v>9000</v>
      </c>
      <c r="O24" s="4" t="s">
        <v>19</v>
      </c>
      <c r="P24" s="5">
        <f t="shared" si="5"/>
        <v>40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3" t="s">
        <v>16</v>
      </c>
      <c r="B25" s="2"/>
      <c r="C25" s="14"/>
      <c r="D25" s="3"/>
      <c r="E25" s="1" t="s">
        <v>46</v>
      </c>
      <c r="F25" s="1" t="str">
        <f t="shared" si="1"/>
        <v>01/02/26MT2044</v>
      </c>
      <c r="G25" s="1" t="str">
        <f t="shared" si="2"/>
        <v>C01/02/26</v>
      </c>
      <c r="H25" s="1" t="str">
        <f>IFNA(VLOOKUP(TRIM(E25),Master!D:M,4,0),"")</f>
        <v>SEKAM MENTAH 10KG</v>
      </c>
      <c r="I25" s="4">
        <v>1.0</v>
      </c>
      <c r="J25" s="5">
        <f>IFNA(VLOOKUP(E25,Master!D:U,14,0),0)</f>
        <v>10000</v>
      </c>
      <c r="K25" s="5">
        <v>0.0</v>
      </c>
      <c r="L25" s="5">
        <f t="shared" si="3"/>
        <v>10000</v>
      </c>
      <c r="M25" s="5">
        <f>IFNA(VLOOKUP(TRIM(E25),Master!D:U,13,0),"")</f>
        <v>6000</v>
      </c>
      <c r="N25" s="5">
        <f t="shared" si="4"/>
        <v>4000</v>
      </c>
      <c r="O25" s="4" t="s">
        <v>19</v>
      </c>
      <c r="P25" s="5">
        <f t="shared" si="5"/>
        <v>40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3" t="s">
        <v>16</v>
      </c>
      <c r="B26" s="13" t="s">
        <v>47</v>
      </c>
      <c r="C26" s="14"/>
      <c r="D26" s="15">
        <v>1.0</v>
      </c>
      <c r="E26" s="1" t="s">
        <v>33</v>
      </c>
      <c r="F26" s="1" t="str">
        <f t="shared" si="1"/>
        <v>01/02/26PL3040</v>
      </c>
      <c r="G26" s="1" t="str">
        <f t="shared" si="2"/>
        <v>O01/02/26</v>
      </c>
      <c r="H26" s="1" t="str">
        <f>IFNA(VLOOKUP(TRIM(E26),Master!D:M,4,0),"")</f>
        <v>KAWAT BONSAI SILVER NO.1.5 ECERAN</v>
      </c>
      <c r="I26" s="16">
        <v>12.0</v>
      </c>
      <c r="J26" s="5">
        <f>IFNA(VLOOKUP(E26,Master!D:U,14,0),0)</f>
        <v>750</v>
      </c>
      <c r="K26" s="5">
        <v>0.0</v>
      </c>
      <c r="L26" s="5">
        <f t="shared" si="3"/>
        <v>9000</v>
      </c>
      <c r="M26" s="5">
        <f>IFNA(VLOOKUP(TRIM(E26),Master!D:U,13,0),"")</f>
        <v>444</v>
      </c>
      <c r="N26" s="5">
        <f t="shared" si="4"/>
        <v>3672</v>
      </c>
      <c r="O26" s="16" t="s">
        <v>28</v>
      </c>
      <c r="P26" s="5">
        <f t="shared" si="5"/>
        <v>40.8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3" t="s">
        <v>16</v>
      </c>
      <c r="B27" s="13" t="s">
        <v>48</v>
      </c>
      <c r="C27" s="14"/>
      <c r="D27" s="15">
        <v>1.0</v>
      </c>
      <c r="E27" s="1" t="s">
        <v>34</v>
      </c>
      <c r="F27" s="1" t="str">
        <f t="shared" si="1"/>
        <v>01/02/26MT2053</v>
      </c>
      <c r="G27" s="1" t="str">
        <f t="shared" si="2"/>
        <v>C01/02/26</v>
      </c>
      <c r="H27" s="1" t="str">
        <f>IFNA(VLOOKUP(TRIM(E27),Master!D:M,4,0),"")</f>
        <v>TANAH SUBUR 25KG BINTANG TANI</v>
      </c>
      <c r="I27" s="16">
        <v>2.0</v>
      </c>
      <c r="J27" s="5">
        <f>IFNA(VLOOKUP(E27,Master!D:U,14,0),0)</f>
        <v>25000</v>
      </c>
      <c r="K27" s="5">
        <v>0.0</v>
      </c>
      <c r="L27" s="5">
        <f t="shared" si="3"/>
        <v>50000</v>
      </c>
      <c r="M27" s="5">
        <f>IFNA(VLOOKUP(TRIM(E27),Master!D:U,13,0),"")</f>
        <v>15000</v>
      </c>
      <c r="N27" s="5">
        <f t="shared" si="4"/>
        <v>20000</v>
      </c>
      <c r="O27" s="4" t="s">
        <v>19</v>
      </c>
      <c r="P27" s="5">
        <f t="shared" si="5"/>
        <v>40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3" t="s">
        <v>49</v>
      </c>
      <c r="B28" s="13" t="s">
        <v>50</v>
      </c>
      <c r="C28" s="14"/>
      <c r="D28" s="15">
        <v>1.0</v>
      </c>
      <c r="E28" s="1" t="s">
        <v>51</v>
      </c>
      <c r="F28" s="1" t="str">
        <f t="shared" si="1"/>
        <v>02/02/26PK5011</v>
      </c>
      <c r="G28" s="1" t="str">
        <f t="shared" si="2"/>
        <v>O02/02/26</v>
      </c>
      <c r="H28" s="1" t="str">
        <f>IFNA(VLOOKUP(TRIM(E28),Master!D:M,4,0),"")</f>
        <v>DEKASTAR 131313 KTK 500GR</v>
      </c>
      <c r="I28" s="4">
        <v>1.0</v>
      </c>
      <c r="J28" s="5">
        <f>IFNA(VLOOKUP(E28,Master!D:U,14,0),0)</f>
        <v>95000</v>
      </c>
      <c r="K28" s="5">
        <v>0.0</v>
      </c>
      <c r="L28" s="5">
        <f t="shared" si="3"/>
        <v>95000</v>
      </c>
      <c r="M28" s="5">
        <f>IFNA(VLOOKUP(TRIM(E28),Master!D:U,13,0),"")</f>
        <v>74000</v>
      </c>
      <c r="N28" s="5">
        <f t="shared" si="4"/>
        <v>21000</v>
      </c>
      <c r="O28" s="16" t="s">
        <v>28</v>
      </c>
      <c r="P28" s="5">
        <f t="shared" si="5"/>
        <v>22.10526316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3" t="s">
        <v>49</v>
      </c>
      <c r="B29" s="13" t="s">
        <v>52</v>
      </c>
      <c r="C29" s="14"/>
      <c r="D29" s="15">
        <v>1.0</v>
      </c>
      <c r="E29" s="1" t="s">
        <v>53</v>
      </c>
      <c r="F29" s="1" t="str">
        <f t="shared" si="1"/>
        <v>02/02/26PL3089</v>
      </c>
      <c r="G29" s="1" t="str">
        <f t="shared" si="2"/>
        <v>I02/02/26</v>
      </c>
      <c r="H29" s="1" t="str">
        <f>IFNA(VLOOKUP(TRIM(E29),Master!D:M,4,0),"")</f>
        <v>SPRAYER 1LITER</v>
      </c>
      <c r="I29" s="4">
        <v>1.0</v>
      </c>
      <c r="J29" s="5">
        <f>IFNA(VLOOKUP(E29,Master!D:U,14,0),0)</f>
        <v>35000</v>
      </c>
      <c r="K29" s="5">
        <v>0.0</v>
      </c>
      <c r="L29" s="5">
        <f t="shared" si="3"/>
        <v>35000</v>
      </c>
      <c r="M29" s="5">
        <f>IFNA(VLOOKUP(TRIM(E29),Master!D:U,13,0),"")</f>
        <v>29000</v>
      </c>
      <c r="N29" s="5">
        <f t="shared" si="4"/>
        <v>6000</v>
      </c>
      <c r="O29" s="16" t="s">
        <v>23</v>
      </c>
      <c r="P29" s="5">
        <f t="shared" si="5"/>
        <v>17.14285714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3" t="s">
        <v>49</v>
      </c>
      <c r="B30" s="13" t="s">
        <v>52</v>
      </c>
      <c r="C30" s="14"/>
      <c r="D30" s="15">
        <v>1.0</v>
      </c>
      <c r="E30" s="1" t="s">
        <v>54</v>
      </c>
      <c r="F30" s="1" t="str">
        <f t="shared" si="1"/>
        <v>02/02/26PL3090</v>
      </c>
      <c r="G30" s="1" t="str">
        <f t="shared" si="2"/>
        <v>I02/02/26</v>
      </c>
      <c r="H30" s="1" t="str">
        <f>IFNA(VLOOKUP(TRIM(E30),Master!D:M,4,0),"")</f>
        <v>SPRAYER 2LITER</v>
      </c>
      <c r="I30" s="4">
        <v>1.0</v>
      </c>
      <c r="J30" s="5">
        <f>IFNA(VLOOKUP(E30,Master!D:U,14,0),0)</f>
        <v>43000</v>
      </c>
      <c r="K30" s="5">
        <v>0.0</v>
      </c>
      <c r="L30" s="5">
        <f t="shared" si="3"/>
        <v>43000</v>
      </c>
      <c r="M30" s="5">
        <f>IFNA(VLOOKUP(TRIM(E30),Master!D:U,13,0),"")</f>
        <v>33000</v>
      </c>
      <c r="N30" s="5">
        <f t="shared" si="4"/>
        <v>10000</v>
      </c>
      <c r="O30" s="16" t="s">
        <v>23</v>
      </c>
      <c r="P30" s="5">
        <f t="shared" si="5"/>
        <v>23.25581395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3" t="s">
        <v>49</v>
      </c>
      <c r="B31" s="13" t="s">
        <v>55</v>
      </c>
      <c r="C31" s="14"/>
      <c r="D31" s="15">
        <v>1.0</v>
      </c>
      <c r="E31" s="1" t="s">
        <v>56</v>
      </c>
      <c r="F31" s="1" t="str">
        <f t="shared" si="1"/>
        <v>02/02/26PK5064</v>
      </c>
      <c r="G31" s="1" t="str">
        <f t="shared" si="2"/>
        <v>C02/02/26</v>
      </c>
      <c r="H31" s="1" t="str">
        <f>IFNA(VLOOKUP(TRIM(E31),Master!D:M,4,0),"")</f>
        <v>PUPUK UREA 1KG</v>
      </c>
      <c r="I31" s="4">
        <v>1.0</v>
      </c>
      <c r="J31" s="5">
        <f>IFNA(VLOOKUP(E31,Master!D:U,14,0),0)</f>
        <v>14000</v>
      </c>
      <c r="K31" s="5">
        <v>0.0</v>
      </c>
      <c r="L31" s="5">
        <f t="shared" si="3"/>
        <v>14000</v>
      </c>
      <c r="M31" s="5">
        <f>IFNA(VLOOKUP(TRIM(E31),Master!D:U,13,0),"")</f>
        <v>10000</v>
      </c>
      <c r="N31" s="5">
        <f t="shared" si="4"/>
        <v>4000</v>
      </c>
      <c r="O31" s="4" t="s">
        <v>19</v>
      </c>
      <c r="P31" s="5">
        <f t="shared" si="5"/>
        <v>28.57142857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3" t="s">
        <v>49</v>
      </c>
      <c r="B32" s="13" t="s">
        <v>57</v>
      </c>
      <c r="C32" s="14"/>
      <c r="D32" s="15">
        <v>1.0</v>
      </c>
      <c r="E32" s="17" t="s">
        <v>42</v>
      </c>
      <c r="F32" s="1" t="str">
        <f t="shared" si="1"/>
        <v>02/02/26PL3042</v>
      </c>
      <c r="G32" s="1" t="str">
        <f t="shared" si="2"/>
        <v>O02/02/26</v>
      </c>
      <c r="H32" s="1" t="str">
        <f>IFNA(VLOOKUP(TRIM(E32),Master!D:M,4,0),"")</f>
        <v>KAWAT BONSAI SILVER NO.2 ECERAN</v>
      </c>
      <c r="I32" s="16">
        <v>5.0</v>
      </c>
      <c r="J32" s="5">
        <f>IFNA(VLOOKUP(E32,Master!D:U,14,0),0)</f>
        <v>1500</v>
      </c>
      <c r="K32" s="5">
        <v>0.0</v>
      </c>
      <c r="L32" s="5">
        <f t="shared" si="3"/>
        <v>7500</v>
      </c>
      <c r="M32" s="5">
        <f>IFNA(VLOOKUP(TRIM(E32),Master!D:U,13,0),"")</f>
        <v>800</v>
      </c>
      <c r="N32" s="5">
        <f t="shared" si="4"/>
        <v>3500</v>
      </c>
      <c r="O32" s="16" t="s">
        <v>28</v>
      </c>
      <c r="P32" s="5">
        <f t="shared" si="5"/>
        <v>46.66666667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3" t="s">
        <v>49</v>
      </c>
      <c r="B33" s="2"/>
      <c r="C33" s="14"/>
      <c r="D33" s="3"/>
      <c r="E33" s="1" t="s">
        <v>58</v>
      </c>
      <c r="F33" s="1" t="str">
        <f t="shared" si="1"/>
        <v>02/02/26MT2041</v>
      </c>
      <c r="G33" s="1" t="str">
        <f t="shared" si="2"/>
        <v>O02/02/26</v>
      </c>
      <c r="H33" s="1" t="str">
        <f>IFNA(VLOOKUP(TRIM(E33),Master!D:M,4,0),"")</f>
        <v>SEKAM BAKAR 5KG</v>
      </c>
      <c r="I33" s="4">
        <v>1.0</v>
      </c>
      <c r="J33" s="5">
        <f>IFNA(VLOOKUP(E33,Master!D:U,14,0),0)</f>
        <v>8000</v>
      </c>
      <c r="K33" s="5">
        <v>0.0</v>
      </c>
      <c r="L33" s="5">
        <f t="shared" si="3"/>
        <v>8000</v>
      </c>
      <c r="M33" s="5">
        <f>IFNA(VLOOKUP(TRIM(E33),Master!D:U,13,0),"")</f>
        <v>3400</v>
      </c>
      <c r="N33" s="5">
        <f t="shared" si="4"/>
        <v>4600</v>
      </c>
      <c r="O33" s="16" t="s">
        <v>28</v>
      </c>
      <c r="P33" s="5">
        <f t="shared" si="5"/>
        <v>57.5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3" t="s">
        <v>49</v>
      </c>
      <c r="B34" s="2"/>
      <c r="C34" s="14"/>
      <c r="D34" s="3"/>
      <c r="E34" s="1" t="s">
        <v>59</v>
      </c>
      <c r="F34" s="1" t="str">
        <f t="shared" si="1"/>
        <v>02/02/26PK5068</v>
      </c>
      <c r="G34" s="1" t="str">
        <f t="shared" si="2"/>
        <v>O02/02/26</v>
      </c>
      <c r="H34" s="1" t="str">
        <f>IFNA(VLOOKUP(TRIM(E34),Master!D:M,4,0),"")</f>
        <v>PUPUK ZA 1KG</v>
      </c>
      <c r="I34" s="4">
        <v>1.0</v>
      </c>
      <c r="J34" s="5">
        <f>IFNA(VLOOKUP(E34,Master!D:U,14,0),0)</f>
        <v>9000</v>
      </c>
      <c r="K34" s="5">
        <v>0.0</v>
      </c>
      <c r="L34" s="5">
        <f t="shared" si="3"/>
        <v>9000</v>
      </c>
      <c r="M34" s="5">
        <f>IFNA(VLOOKUP(TRIM(E34),Master!D:U,13,0),"")</f>
        <v>6000</v>
      </c>
      <c r="N34" s="5">
        <f t="shared" si="4"/>
        <v>3000</v>
      </c>
      <c r="O34" s="16" t="s">
        <v>28</v>
      </c>
      <c r="P34" s="5">
        <f t="shared" si="5"/>
        <v>33.33333333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3" t="s">
        <v>49</v>
      </c>
      <c r="B35" s="2"/>
      <c r="C35" s="14"/>
      <c r="D35" s="3"/>
      <c r="E35" s="1" t="s">
        <v>60</v>
      </c>
      <c r="F35" s="1" t="str">
        <f t="shared" si="1"/>
        <v>02/02/26PK5066</v>
      </c>
      <c r="G35" s="1" t="str">
        <f t="shared" si="2"/>
        <v>O02/02/26</v>
      </c>
      <c r="H35" s="1" t="str">
        <f>IFNA(VLOOKUP(TRIM(E35),Master!D:M,4,0),"")</f>
        <v>PUPUK XPK 1KG</v>
      </c>
      <c r="I35" s="4">
        <v>1.0</v>
      </c>
      <c r="J35" s="5">
        <f>IFNA(VLOOKUP(E35,Master!D:U,14,0),0)</f>
        <v>90000</v>
      </c>
      <c r="K35" s="5">
        <v>0.0</v>
      </c>
      <c r="L35" s="5">
        <f t="shared" si="3"/>
        <v>90000</v>
      </c>
      <c r="M35" s="5">
        <f>IFNA(VLOOKUP(TRIM(E35),Master!D:U,13,0),"")</f>
        <v>75000</v>
      </c>
      <c r="N35" s="5">
        <f t="shared" si="4"/>
        <v>15000</v>
      </c>
      <c r="O35" s="16" t="s">
        <v>28</v>
      </c>
      <c r="P35" s="5">
        <f t="shared" si="5"/>
        <v>16.66666667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3" t="s">
        <v>49</v>
      </c>
      <c r="B36" s="13" t="s">
        <v>61</v>
      </c>
      <c r="C36" s="14"/>
      <c r="D36" s="15">
        <v>1.0</v>
      </c>
      <c r="E36" s="1" t="s">
        <v>37</v>
      </c>
      <c r="F36" s="1" t="str">
        <f t="shared" si="1"/>
        <v>02/02/26MT2050</v>
      </c>
      <c r="G36" s="1" t="str">
        <f t="shared" si="2"/>
        <v>C02/02/26</v>
      </c>
      <c r="H36" s="1" t="str">
        <f>IFNA(VLOOKUP(TRIM(E36),Master!D:M,4,0),"")</f>
        <v>TANAH SUBUR 10KG BINTANG TANI</v>
      </c>
      <c r="I36" s="4">
        <v>1.0</v>
      </c>
      <c r="J36" s="5">
        <f>IFNA(VLOOKUP(E36,Master!D:U,14,0),0)</f>
        <v>10000</v>
      </c>
      <c r="K36" s="5">
        <v>0.0</v>
      </c>
      <c r="L36" s="5">
        <f t="shared" si="3"/>
        <v>10000</v>
      </c>
      <c r="M36" s="5">
        <f>IFNA(VLOOKUP(TRIM(E36),Master!D:U,13,0),"")</f>
        <v>6000</v>
      </c>
      <c r="N36" s="5">
        <f t="shared" si="4"/>
        <v>4000</v>
      </c>
      <c r="O36" s="4" t="s">
        <v>19</v>
      </c>
      <c r="P36" s="5">
        <f t="shared" si="5"/>
        <v>40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3" t="s">
        <v>49</v>
      </c>
      <c r="B37" s="2"/>
      <c r="C37" s="14"/>
      <c r="D37" s="3"/>
      <c r="E37" s="1" t="s">
        <v>46</v>
      </c>
      <c r="F37" s="1" t="str">
        <f t="shared" si="1"/>
        <v>02/02/26MT2044</v>
      </c>
      <c r="G37" s="1" t="str">
        <f t="shared" si="2"/>
        <v>C02/02/26</v>
      </c>
      <c r="H37" s="1" t="str">
        <f>IFNA(VLOOKUP(TRIM(E37),Master!D:M,4,0),"")</f>
        <v>SEKAM MENTAH 10KG</v>
      </c>
      <c r="I37" s="4">
        <v>1.0</v>
      </c>
      <c r="J37" s="5">
        <f>IFNA(VLOOKUP(E37,Master!D:U,14,0),0)</f>
        <v>10000</v>
      </c>
      <c r="K37" s="5">
        <v>0.0</v>
      </c>
      <c r="L37" s="5">
        <f t="shared" si="3"/>
        <v>10000</v>
      </c>
      <c r="M37" s="5">
        <f>IFNA(VLOOKUP(TRIM(E37),Master!D:U,13,0),"")</f>
        <v>6000</v>
      </c>
      <c r="N37" s="5">
        <f t="shared" si="4"/>
        <v>4000</v>
      </c>
      <c r="O37" s="4" t="s">
        <v>19</v>
      </c>
      <c r="P37" s="5">
        <f t="shared" si="5"/>
        <v>40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3" t="s">
        <v>49</v>
      </c>
      <c r="B38" s="2"/>
      <c r="C38" s="14"/>
      <c r="D38" s="3"/>
      <c r="E38" s="1" t="s">
        <v>18</v>
      </c>
      <c r="F38" s="1" t="str">
        <f t="shared" si="1"/>
        <v>02/02/26PK5043</v>
      </c>
      <c r="G38" s="1" t="str">
        <f t="shared" si="2"/>
        <v>C02/02/26</v>
      </c>
      <c r="H38" s="1" t="str">
        <f>IFNA(VLOOKUP(TRIM(E38),Master!D:M,4,0),"")</f>
        <v>PUPUK KAMBING 5KG</v>
      </c>
      <c r="I38" s="4">
        <v>1.0</v>
      </c>
      <c r="J38" s="5">
        <f>IFNA(VLOOKUP(E38,Master!D:U,14,0),0)</f>
        <v>15000</v>
      </c>
      <c r="K38" s="5">
        <v>0.0</v>
      </c>
      <c r="L38" s="5">
        <f t="shared" si="3"/>
        <v>15000</v>
      </c>
      <c r="M38" s="5">
        <f>IFNA(VLOOKUP(TRIM(E38),Master!D:U,13,0),"")</f>
        <v>8000</v>
      </c>
      <c r="N38" s="5">
        <f t="shared" si="4"/>
        <v>7000</v>
      </c>
      <c r="O38" s="4" t="s">
        <v>19</v>
      </c>
      <c r="P38" s="5">
        <f t="shared" si="5"/>
        <v>46.66666667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3" t="s">
        <v>49</v>
      </c>
      <c r="B39" s="13" t="s">
        <v>62</v>
      </c>
      <c r="C39" s="14"/>
      <c r="D39" s="15">
        <v>1.0</v>
      </c>
      <c r="E39" s="1" t="s">
        <v>33</v>
      </c>
      <c r="F39" s="1" t="str">
        <f t="shared" si="1"/>
        <v>02/02/26PL3040</v>
      </c>
      <c r="G39" s="1" t="str">
        <f t="shared" si="2"/>
        <v>O02/02/26</v>
      </c>
      <c r="H39" s="1" t="str">
        <f>IFNA(VLOOKUP(TRIM(E39),Master!D:M,4,0),"")</f>
        <v>KAWAT BONSAI SILVER NO.1.5 ECERAN</v>
      </c>
      <c r="I39" s="16">
        <v>5.0</v>
      </c>
      <c r="J39" s="5">
        <f>IFNA(VLOOKUP(E39,Master!D:U,14,0),0)</f>
        <v>750</v>
      </c>
      <c r="K39" s="5">
        <v>0.0</v>
      </c>
      <c r="L39" s="5">
        <f t="shared" si="3"/>
        <v>3750</v>
      </c>
      <c r="M39" s="5">
        <f>IFNA(VLOOKUP(TRIM(E39),Master!D:U,13,0),"")</f>
        <v>444</v>
      </c>
      <c r="N39" s="5">
        <f t="shared" si="4"/>
        <v>1530</v>
      </c>
      <c r="O39" s="16" t="s">
        <v>28</v>
      </c>
      <c r="P39" s="5">
        <f t="shared" si="5"/>
        <v>40.8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3" t="s">
        <v>49</v>
      </c>
      <c r="B40" s="13" t="s">
        <v>63</v>
      </c>
      <c r="C40" s="14"/>
      <c r="D40" s="15">
        <v>1.0</v>
      </c>
      <c r="E40" s="1" t="s">
        <v>37</v>
      </c>
      <c r="F40" s="1" t="str">
        <f t="shared" si="1"/>
        <v>02/02/26MT2050</v>
      </c>
      <c r="G40" s="1" t="str">
        <f t="shared" si="2"/>
        <v>C02/02/26</v>
      </c>
      <c r="H40" s="1" t="str">
        <f>IFNA(VLOOKUP(TRIM(E40),Master!D:M,4,0),"")</f>
        <v>TANAH SUBUR 10KG BINTANG TANI</v>
      </c>
      <c r="I40" s="4">
        <v>1.0</v>
      </c>
      <c r="J40" s="5">
        <f>IFNA(VLOOKUP(E40,Master!D:U,14,0),0)</f>
        <v>10000</v>
      </c>
      <c r="K40" s="5">
        <v>0.0</v>
      </c>
      <c r="L40" s="5">
        <f t="shared" si="3"/>
        <v>10000</v>
      </c>
      <c r="M40" s="5">
        <f>IFNA(VLOOKUP(TRIM(E40),Master!D:U,13,0),"")</f>
        <v>6000</v>
      </c>
      <c r="N40" s="5">
        <f t="shared" si="4"/>
        <v>4000</v>
      </c>
      <c r="O40" s="4" t="s">
        <v>19</v>
      </c>
      <c r="P40" s="5">
        <f t="shared" si="5"/>
        <v>40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3" t="s">
        <v>49</v>
      </c>
      <c r="B41" s="13" t="s">
        <v>63</v>
      </c>
      <c r="C41" s="14"/>
      <c r="D41" s="15">
        <v>1.0</v>
      </c>
      <c r="E41" s="1" t="s">
        <v>34</v>
      </c>
      <c r="F41" s="1" t="str">
        <f t="shared" si="1"/>
        <v>02/02/26MT2053</v>
      </c>
      <c r="G41" s="1" t="str">
        <f t="shared" si="2"/>
        <v>C02/02/26</v>
      </c>
      <c r="H41" s="1" t="str">
        <f>IFNA(VLOOKUP(TRIM(E41),Master!D:M,4,0),"")</f>
        <v>TANAH SUBUR 25KG BINTANG TANI</v>
      </c>
      <c r="I41" s="16">
        <v>2.0</v>
      </c>
      <c r="J41" s="5">
        <f>IFNA(VLOOKUP(E41,Master!D:U,14,0),0)</f>
        <v>25000</v>
      </c>
      <c r="K41" s="5">
        <v>0.0</v>
      </c>
      <c r="L41" s="5">
        <f t="shared" si="3"/>
        <v>50000</v>
      </c>
      <c r="M41" s="5">
        <f>IFNA(VLOOKUP(TRIM(E41),Master!D:U,13,0),"")</f>
        <v>15000</v>
      </c>
      <c r="N41" s="5">
        <f t="shared" si="4"/>
        <v>20000</v>
      </c>
      <c r="O41" s="4" t="s">
        <v>19</v>
      </c>
      <c r="P41" s="5">
        <f t="shared" si="5"/>
        <v>40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3" t="s">
        <v>64</v>
      </c>
      <c r="B42" s="13" t="s">
        <v>65</v>
      </c>
      <c r="C42" s="14"/>
      <c r="D42" s="15">
        <v>1.0</v>
      </c>
      <c r="E42" s="1" t="s">
        <v>33</v>
      </c>
      <c r="F42" s="1" t="str">
        <f t="shared" si="1"/>
        <v>03/02/26PL3040</v>
      </c>
      <c r="G42" s="1" t="str">
        <f t="shared" si="2"/>
        <v>O03/02/26</v>
      </c>
      <c r="H42" s="1" t="str">
        <f>IFNA(VLOOKUP(TRIM(E42),Master!D:M,4,0),"")</f>
        <v>KAWAT BONSAI SILVER NO.1.5 ECERAN</v>
      </c>
      <c r="I42" s="16">
        <v>12.0</v>
      </c>
      <c r="J42" s="5">
        <f>IFNA(VLOOKUP(E42,Master!D:U,14,0),0)</f>
        <v>750</v>
      </c>
      <c r="K42" s="5">
        <v>0.0</v>
      </c>
      <c r="L42" s="5">
        <f t="shared" si="3"/>
        <v>9000</v>
      </c>
      <c r="M42" s="5">
        <f>IFNA(VLOOKUP(TRIM(E42),Master!D:U,13,0),"")</f>
        <v>444</v>
      </c>
      <c r="N42" s="5">
        <f t="shared" si="4"/>
        <v>3672</v>
      </c>
      <c r="O42" s="16" t="s">
        <v>28</v>
      </c>
      <c r="P42" s="5">
        <f t="shared" si="5"/>
        <v>40.8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3" t="s">
        <v>64</v>
      </c>
      <c r="B43" s="2"/>
      <c r="C43" s="14"/>
      <c r="D43" s="3"/>
      <c r="E43" s="17" t="s">
        <v>66</v>
      </c>
      <c r="F43" s="1" t="str">
        <f t="shared" si="1"/>
        <v>03/02/26PL3038</v>
      </c>
      <c r="G43" s="1" t="str">
        <f t="shared" si="2"/>
        <v>O03/02/26</v>
      </c>
      <c r="H43" s="1" t="str">
        <f>IFNA(VLOOKUP(TRIM(E43),Master!D:M,4,0),"")</f>
        <v>KAWAT BONSAI SILVER NO.1 ECERAN</v>
      </c>
      <c r="I43" s="16">
        <v>20.0</v>
      </c>
      <c r="J43" s="5">
        <f>IFNA(VLOOKUP(E43,Master!D:U,14,0),0)</f>
        <v>500</v>
      </c>
      <c r="K43" s="5">
        <v>0.0</v>
      </c>
      <c r="L43" s="5">
        <f t="shared" si="3"/>
        <v>10000</v>
      </c>
      <c r="M43" s="5">
        <f>IFNA(VLOOKUP(TRIM(E43),Master!D:U,13,0),"")</f>
        <v>267</v>
      </c>
      <c r="N43" s="5">
        <f t="shared" si="4"/>
        <v>4660</v>
      </c>
      <c r="O43" s="16" t="s">
        <v>28</v>
      </c>
      <c r="P43" s="5">
        <f t="shared" si="5"/>
        <v>46.6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3" t="s">
        <v>64</v>
      </c>
      <c r="B44" s="2"/>
      <c r="C44" s="14"/>
      <c r="D44" s="3"/>
      <c r="E44" s="1" t="s">
        <v>33</v>
      </c>
      <c r="F44" s="1" t="str">
        <f t="shared" si="1"/>
        <v>03/02/26PL3040</v>
      </c>
      <c r="G44" s="1" t="str">
        <f t="shared" si="2"/>
        <v>O03/02/26</v>
      </c>
      <c r="H44" s="1" t="str">
        <f>IFNA(VLOOKUP(TRIM(E44),Master!D:M,4,0),"")</f>
        <v>KAWAT BONSAI SILVER NO.1.5 ECERAN</v>
      </c>
      <c r="I44" s="16">
        <v>10.0</v>
      </c>
      <c r="J44" s="5">
        <f>IFNA(VLOOKUP(E44,Master!D:U,14,0),0)</f>
        <v>750</v>
      </c>
      <c r="K44" s="5">
        <v>0.0</v>
      </c>
      <c r="L44" s="5">
        <f t="shared" si="3"/>
        <v>7500</v>
      </c>
      <c r="M44" s="5">
        <f>IFNA(VLOOKUP(TRIM(E44),Master!D:U,13,0),"")</f>
        <v>444</v>
      </c>
      <c r="N44" s="5">
        <f t="shared" si="4"/>
        <v>3060</v>
      </c>
      <c r="O44" s="16" t="s">
        <v>28</v>
      </c>
      <c r="P44" s="5">
        <f t="shared" si="5"/>
        <v>40.8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3" t="s">
        <v>64</v>
      </c>
      <c r="B45" s="2"/>
      <c r="C45" s="14"/>
      <c r="D45" s="3"/>
      <c r="E45" s="1" t="s">
        <v>46</v>
      </c>
      <c r="F45" s="1" t="str">
        <f t="shared" si="1"/>
        <v>03/02/26MT2044</v>
      </c>
      <c r="G45" s="1" t="str">
        <f t="shared" si="2"/>
        <v>O03/02/26</v>
      </c>
      <c r="H45" s="1" t="str">
        <f>IFNA(VLOOKUP(TRIM(E45),Master!D:M,4,0),"")</f>
        <v>SEKAM MENTAH 10KG</v>
      </c>
      <c r="I45" s="4">
        <v>1.0</v>
      </c>
      <c r="J45" s="5">
        <f>IFNA(VLOOKUP(E45,Master!D:U,14,0),0)</f>
        <v>10000</v>
      </c>
      <c r="K45" s="5">
        <v>0.0</v>
      </c>
      <c r="L45" s="5">
        <f t="shared" si="3"/>
        <v>10000</v>
      </c>
      <c r="M45" s="5">
        <f>IFNA(VLOOKUP(TRIM(E45),Master!D:U,13,0),"")</f>
        <v>6000</v>
      </c>
      <c r="N45" s="5">
        <f t="shared" si="4"/>
        <v>4000</v>
      </c>
      <c r="O45" s="16" t="s">
        <v>28</v>
      </c>
      <c r="P45" s="5">
        <f t="shared" si="5"/>
        <v>40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3" t="s">
        <v>64</v>
      </c>
      <c r="B46" s="2"/>
      <c r="C46" s="14"/>
      <c r="D46" s="3"/>
      <c r="E46" s="1" t="s">
        <v>58</v>
      </c>
      <c r="F46" s="1" t="str">
        <f t="shared" si="1"/>
        <v>03/02/26MT2041</v>
      </c>
      <c r="G46" s="1" t="str">
        <f t="shared" si="2"/>
        <v>O03/02/26</v>
      </c>
      <c r="H46" s="1" t="str">
        <f>IFNA(VLOOKUP(TRIM(E46),Master!D:M,4,0),"")</f>
        <v>SEKAM BAKAR 5KG</v>
      </c>
      <c r="I46" s="16">
        <v>2.0</v>
      </c>
      <c r="J46" s="5">
        <f>IFNA(VLOOKUP(E46,Master!D:U,14,0),0)</f>
        <v>8000</v>
      </c>
      <c r="K46" s="5">
        <v>0.0</v>
      </c>
      <c r="L46" s="5">
        <f t="shared" si="3"/>
        <v>16000</v>
      </c>
      <c r="M46" s="5">
        <f>IFNA(VLOOKUP(TRIM(E46),Master!D:U,13,0),"")</f>
        <v>3400</v>
      </c>
      <c r="N46" s="5">
        <f t="shared" si="4"/>
        <v>9200</v>
      </c>
      <c r="O46" s="16" t="s">
        <v>28</v>
      </c>
      <c r="P46" s="5">
        <f t="shared" si="5"/>
        <v>57.5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3" t="s">
        <v>64</v>
      </c>
      <c r="B47" s="2"/>
      <c r="C47" s="14"/>
      <c r="D47" s="3"/>
      <c r="E47" s="1" t="s">
        <v>67</v>
      </c>
      <c r="F47" s="1" t="str">
        <f t="shared" si="1"/>
        <v>03/02/26MT2009</v>
      </c>
      <c r="G47" s="1" t="str">
        <f t="shared" si="2"/>
        <v>O03/02/26</v>
      </c>
      <c r="H47" s="1" t="str">
        <f>IFNA(VLOOKUP(TRIM(E47),Master!D:M,4,0),"")</f>
        <v>COCOPEAT NON FERMENTASI 5KG</v>
      </c>
      <c r="I47" s="16">
        <v>2.0</v>
      </c>
      <c r="J47" s="5">
        <f>IFNA(VLOOKUP(E47,Master!D:U,14,0),0)</f>
        <v>5000</v>
      </c>
      <c r="K47" s="5">
        <v>0.0</v>
      </c>
      <c r="L47" s="5">
        <f t="shared" si="3"/>
        <v>10000</v>
      </c>
      <c r="M47" s="5">
        <f>IFNA(VLOOKUP(TRIM(E47),Master!D:U,13,0),"")</f>
        <v>3000</v>
      </c>
      <c r="N47" s="5">
        <f t="shared" si="4"/>
        <v>4000</v>
      </c>
      <c r="O47" s="16" t="s">
        <v>28</v>
      </c>
      <c r="P47" s="5">
        <f t="shared" si="5"/>
        <v>40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3" t="s">
        <v>64</v>
      </c>
      <c r="B48" s="13" t="s">
        <v>68</v>
      </c>
      <c r="C48" s="14"/>
      <c r="D48" s="15">
        <v>1.0</v>
      </c>
      <c r="E48" s="1" t="s">
        <v>69</v>
      </c>
      <c r="F48" s="1" t="str">
        <f t="shared" si="1"/>
        <v>03/02/26MT2018</v>
      </c>
      <c r="G48" s="1" t="str">
        <f t="shared" si="2"/>
        <v>C03/02/26</v>
      </c>
      <c r="H48" s="1" t="str">
        <f>IFNA(VLOOKUP(TRIM(E48),Master!D:M,4,0),"")</f>
        <v>MOSS HITAM 5KG</v>
      </c>
      <c r="I48" s="4">
        <v>1.0</v>
      </c>
      <c r="J48" s="5">
        <f>IFNA(VLOOKUP(E48,Master!D:U,14,0),0)</f>
        <v>12000</v>
      </c>
      <c r="K48" s="5">
        <v>0.0</v>
      </c>
      <c r="L48" s="5">
        <f t="shared" si="3"/>
        <v>12000</v>
      </c>
      <c r="M48" s="5">
        <f>IFNA(VLOOKUP(TRIM(E48),Master!D:U,13,0),"")</f>
        <v>7500</v>
      </c>
      <c r="N48" s="5">
        <f t="shared" si="4"/>
        <v>4500</v>
      </c>
      <c r="O48" s="4" t="s">
        <v>19</v>
      </c>
      <c r="P48" s="5">
        <f t="shared" si="5"/>
        <v>37.5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3" t="s">
        <v>64</v>
      </c>
      <c r="B49" s="2"/>
      <c r="C49" s="14"/>
      <c r="D49" s="3"/>
      <c r="E49" s="1"/>
      <c r="F49" s="1" t="str">
        <f t="shared" si="1"/>
        <v>03/02/26</v>
      </c>
      <c r="G49" s="1" t="str">
        <f t="shared" si="2"/>
        <v>C03/02/26</v>
      </c>
      <c r="H49" s="17" t="s">
        <v>70</v>
      </c>
      <c r="I49" s="4">
        <v>1.0</v>
      </c>
      <c r="J49" s="18">
        <v>15000.0</v>
      </c>
      <c r="K49" s="5">
        <v>0.0</v>
      </c>
      <c r="L49" s="5">
        <f t="shared" si="3"/>
        <v>15000</v>
      </c>
      <c r="M49" s="5" t="str">
        <f>IFNA(VLOOKUP(TRIM(E49),Master!D:U,13,0),"")</f>
        <v/>
      </c>
      <c r="N49" s="5">
        <f t="shared" si="4"/>
        <v>15000</v>
      </c>
      <c r="O49" s="4" t="s">
        <v>19</v>
      </c>
      <c r="P49" s="5">
        <f t="shared" si="5"/>
        <v>100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3" t="s">
        <v>64</v>
      </c>
      <c r="B50" s="13" t="s">
        <v>71</v>
      </c>
      <c r="C50" s="14"/>
      <c r="D50" s="15">
        <v>1.0</v>
      </c>
      <c r="E50" s="1" t="s">
        <v>37</v>
      </c>
      <c r="F50" s="1" t="str">
        <f t="shared" si="1"/>
        <v>03/02/26MT2050</v>
      </c>
      <c r="G50" s="1" t="str">
        <f t="shared" si="2"/>
        <v>C03/02/26</v>
      </c>
      <c r="H50" s="1" t="str">
        <f>IFNA(VLOOKUP(TRIM(E50),Master!D:M,4,0),"")</f>
        <v>TANAH SUBUR 10KG BINTANG TANI</v>
      </c>
      <c r="I50" s="16">
        <v>2.0</v>
      </c>
      <c r="J50" s="5">
        <f>IFNA(VLOOKUP(E50,Master!D:U,14,0),0)</f>
        <v>10000</v>
      </c>
      <c r="K50" s="5">
        <v>0.0</v>
      </c>
      <c r="L50" s="5">
        <f t="shared" si="3"/>
        <v>20000</v>
      </c>
      <c r="M50" s="5">
        <f>IFNA(VLOOKUP(TRIM(E50),Master!D:U,13,0),"")</f>
        <v>6000</v>
      </c>
      <c r="N50" s="5">
        <f t="shared" si="4"/>
        <v>8000</v>
      </c>
      <c r="O50" s="4" t="s">
        <v>19</v>
      </c>
      <c r="P50" s="5">
        <f t="shared" si="5"/>
        <v>40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3" t="s">
        <v>64</v>
      </c>
      <c r="B51" s="13" t="s">
        <v>71</v>
      </c>
      <c r="C51" s="14"/>
      <c r="D51" s="15">
        <v>1.0</v>
      </c>
      <c r="E51" s="1" t="s">
        <v>37</v>
      </c>
      <c r="F51" s="1" t="str">
        <f t="shared" si="1"/>
        <v>03/02/26MT2050</v>
      </c>
      <c r="G51" s="1" t="str">
        <f t="shared" si="2"/>
        <v>C03/02/26</v>
      </c>
      <c r="H51" s="1" t="str">
        <f>IFNA(VLOOKUP(TRIM(E51),Master!D:M,4,0),"")</f>
        <v>TANAH SUBUR 10KG BINTANG TANI</v>
      </c>
      <c r="I51" s="16">
        <v>2.0</v>
      </c>
      <c r="J51" s="5">
        <f>IFNA(VLOOKUP(E51,Master!D:U,14,0),0)</f>
        <v>10000</v>
      </c>
      <c r="K51" s="5">
        <v>0.0</v>
      </c>
      <c r="L51" s="5">
        <f t="shared" si="3"/>
        <v>20000</v>
      </c>
      <c r="M51" s="5">
        <f>IFNA(VLOOKUP(TRIM(E51),Master!D:U,13,0),"")</f>
        <v>6000</v>
      </c>
      <c r="N51" s="5">
        <f t="shared" si="4"/>
        <v>8000</v>
      </c>
      <c r="O51" s="4" t="s">
        <v>19</v>
      </c>
      <c r="P51" s="5">
        <f t="shared" si="5"/>
        <v>40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3" t="s">
        <v>64</v>
      </c>
      <c r="B52" s="13" t="s">
        <v>72</v>
      </c>
      <c r="C52" s="14"/>
      <c r="D52" s="15">
        <v>1.0</v>
      </c>
      <c r="E52" s="1" t="s">
        <v>58</v>
      </c>
      <c r="F52" s="1" t="str">
        <f t="shared" si="1"/>
        <v>03/02/26MT2041</v>
      </c>
      <c r="G52" s="1" t="str">
        <f t="shared" si="2"/>
        <v>O03/02/26</v>
      </c>
      <c r="H52" s="1" t="str">
        <f>IFNA(VLOOKUP(TRIM(E52),Master!D:M,4,0),"")</f>
        <v>SEKAM BAKAR 5KG</v>
      </c>
      <c r="I52" s="4">
        <v>1.0</v>
      </c>
      <c r="J52" s="5">
        <f>IFNA(VLOOKUP(E52,Master!D:U,14,0),0)</f>
        <v>8000</v>
      </c>
      <c r="K52" s="5">
        <v>0.0</v>
      </c>
      <c r="L52" s="5">
        <f t="shared" si="3"/>
        <v>8000</v>
      </c>
      <c r="M52" s="5">
        <f>IFNA(VLOOKUP(TRIM(E52),Master!D:U,13,0),"")</f>
        <v>3400</v>
      </c>
      <c r="N52" s="5">
        <f t="shared" si="4"/>
        <v>4600</v>
      </c>
      <c r="O52" s="16" t="s">
        <v>28</v>
      </c>
      <c r="P52" s="5">
        <f t="shared" si="5"/>
        <v>57.5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3" t="s">
        <v>64</v>
      </c>
      <c r="B53" s="2"/>
      <c r="C53" s="14"/>
      <c r="D53" s="3"/>
      <c r="E53" s="1" t="s">
        <v>73</v>
      </c>
      <c r="F53" s="1" t="str">
        <f t="shared" si="1"/>
        <v>03/02/26PK5072</v>
      </c>
      <c r="G53" s="1" t="str">
        <f t="shared" si="2"/>
        <v>O03/02/26</v>
      </c>
      <c r="H53" s="1" t="str">
        <f>IFNA(VLOOKUP(TRIM(E53),Master!D:M,4,0),"")</f>
        <v>VITAMIN B1 500ML</v>
      </c>
      <c r="I53" s="4">
        <v>1.0</v>
      </c>
      <c r="J53" s="5">
        <f>IFNA(VLOOKUP(E53,Master!D:U,14,0),0)</f>
        <v>50000</v>
      </c>
      <c r="K53" s="5">
        <v>0.0</v>
      </c>
      <c r="L53" s="5">
        <f t="shared" si="3"/>
        <v>50000</v>
      </c>
      <c r="M53" s="5">
        <f>IFNA(VLOOKUP(TRIM(E53),Master!D:U,13,0),"")</f>
        <v>25000</v>
      </c>
      <c r="N53" s="5">
        <f t="shared" si="4"/>
        <v>25000</v>
      </c>
      <c r="O53" s="16" t="s">
        <v>28</v>
      </c>
      <c r="P53" s="5">
        <f t="shared" si="5"/>
        <v>50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3" t="s">
        <v>64</v>
      </c>
      <c r="B54" s="2"/>
      <c r="C54" s="14"/>
      <c r="D54" s="3"/>
      <c r="E54" s="17" t="s">
        <v>74</v>
      </c>
      <c r="F54" s="1" t="str">
        <f t="shared" si="1"/>
        <v>03/02/26PL3026</v>
      </c>
      <c r="G54" s="1" t="str">
        <f t="shared" si="2"/>
        <v>O03/02/26</v>
      </c>
      <c r="H54" s="1" t="str">
        <f>IFNA(VLOOKUP(TRIM(E54),Master!D:M,4,0),"")</f>
        <v>KAWAT BONSAI HITAM NO.1 ECERAN</v>
      </c>
      <c r="I54" s="16">
        <v>10.0</v>
      </c>
      <c r="J54" s="5">
        <f>IFNA(VLOOKUP(E54,Master!D:U,14,0),0)</f>
        <v>750</v>
      </c>
      <c r="K54" s="5">
        <v>0.0</v>
      </c>
      <c r="L54" s="5">
        <f t="shared" si="3"/>
        <v>7500</v>
      </c>
      <c r="M54" s="5">
        <f>IFNA(VLOOKUP(TRIM(E54),Master!D:U,13,0),"")</f>
        <v>407</v>
      </c>
      <c r="N54" s="5">
        <f t="shared" si="4"/>
        <v>3430</v>
      </c>
      <c r="O54" s="16" t="s">
        <v>28</v>
      </c>
      <c r="P54" s="5">
        <f t="shared" si="5"/>
        <v>45.73333333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3" t="s">
        <v>64</v>
      </c>
      <c r="B55" s="13" t="s">
        <v>75</v>
      </c>
      <c r="C55" s="14"/>
      <c r="D55" s="15">
        <v>1.0</v>
      </c>
      <c r="E55" s="1" t="s">
        <v>37</v>
      </c>
      <c r="F55" s="1" t="str">
        <f t="shared" si="1"/>
        <v>03/02/26MT2050</v>
      </c>
      <c r="G55" s="1" t="str">
        <f t="shared" si="2"/>
        <v>I03/02/26</v>
      </c>
      <c r="H55" s="1" t="str">
        <f>IFNA(VLOOKUP(TRIM(E55),Master!D:M,4,0),"")</f>
        <v>TANAH SUBUR 10KG BINTANG TANI</v>
      </c>
      <c r="I55" s="16">
        <v>3.0</v>
      </c>
      <c r="J55" s="5">
        <f>IFNA(VLOOKUP(E55,Master!D:U,14,0),0)</f>
        <v>10000</v>
      </c>
      <c r="K55" s="5">
        <v>0.0</v>
      </c>
      <c r="L55" s="5">
        <f t="shared" si="3"/>
        <v>30000</v>
      </c>
      <c r="M55" s="5">
        <f>IFNA(VLOOKUP(TRIM(E55),Master!D:U,13,0),"")</f>
        <v>6000</v>
      </c>
      <c r="N55" s="5">
        <f t="shared" si="4"/>
        <v>12000</v>
      </c>
      <c r="O55" s="16" t="s">
        <v>23</v>
      </c>
      <c r="P55" s="5">
        <f t="shared" si="5"/>
        <v>40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3" t="s">
        <v>64</v>
      </c>
      <c r="B56" s="13" t="s">
        <v>76</v>
      </c>
      <c r="C56" s="14"/>
      <c r="D56" s="15">
        <v>1.0</v>
      </c>
      <c r="E56" s="1" t="s">
        <v>37</v>
      </c>
      <c r="F56" s="1" t="str">
        <f t="shared" si="1"/>
        <v>03/02/26MT2050</v>
      </c>
      <c r="G56" s="1" t="str">
        <f t="shared" si="2"/>
        <v>T03/02/26</v>
      </c>
      <c r="H56" s="1" t="str">
        <f>IFNA(VLOOKUP(TRIM(E56),Master!D:M,4,0),"")</f>
        <v>TANAH SUBUR 10KG BINTANG TANI</v>
      </c>
      <c r="I56" s="4">
        <v>1.0</v>
      </c>
      <c r="J56" s="5">
        <f>IFNA(VLOOKUP(E56,Master!D:U,14,0),0)</f>
        <v>10000</v>
      </c>
      <c r="K56" s="5">
        <v>0.0</v>
      </c>
      <c r="L56" s="5">
        <f t="shared" si="3"/>
        <v>10000</v>
      </c>
      <c r="M56" s="5">
        <f>IFNA(VLOOKUP(TRIM(E56),Master!D:U,13,0),"")</f>
        <v>6000</v>
      </c>
      <c r="N56" s="5">
        <f t="shared" si="4"/>
        <v>4000</v>
      </c>
      <c r="O56" s="16" t="s">
        <v>77</v>
      </c>
      <c r="P56" s="5">
        <f t="shared" si="5"/>
        <v>40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3" t="s">
        <v>64</v>
      </c>
      <c r="B57" s="2"/>
      <c r="C57" s="14"/>
      <c r="D57" s="3"/>
      <c r="E57" s="1" t="s">
        <v>22</v>
      </c>
      <c r="F57" s="1" t="str">
        <f t="shared" si="1"/>
        <v>03/02/26MT2037</v>
      </c>
      <c r="G57" s="1" t="str">
        <f t="shared" si="2"/>
        <v>T03/02/26</v>
      </c>
      <c r="H57" s="1" t="str">
        <f>IFNA(VLOOKUP(TRIM(E57),Master!D:M,4,0),"")</f>
        <v>PUPUK KOMPOS 5KG</v>
      </c>
      <c r="I57" s="4">
        <v>1.0</v>
      </c>
      <c r="J57" s="5">
        <f>IFNA(VLOOKUP(E57,Master!D:U,14,0),0)</f>
        <v>10000</v>
      </c>
      <c r="K57" s="5">
        <v>0.0</v>
      </c>
      <c r="L57" s="5">
        <f t="shared" si="3"/>
        <v>10000</v>
      </c>
      <c r="M57" s="5">
        <f>IFNA(VLOOKUP(TRIM(E57),Master!D:U,13,0),"")</f>
        <v>5000</v>
      </c>
      <c r="N57" s="5">
        <f t="shared" si="4"/>
        <v>5000</v>
      </c>
      <c r="O57" s="16" t="s">
        <v>77</v>
      </c>
      <c r="P57" s="5">
        <f t="shared" si="5"/>
        <v>50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3" t="s">
        <v>64</v>
      </c>
      <c r="B58" s="2"/>
      <c r="C58" s="14"/>
      <c r="D58" s="3"/>
      <c r="E58" s="1" t="s">
        <v>18</v>
      </c>
      <c r="F58" s="1" t="str">
        <f t="shared" si="1"/>
        <v>03/02/26PK5043</v>
      </c>
      <c r="G58" s="1" t="str">
        <f t="shared" si="2"/>
        <v>T03/02/26</v>
      </c>
      <c r="H58" s="1" t="str">
        <f>IFNA(VLOOKUP(TRIM(E58),Master!D:M,4,0),"")</f>
        <v>PUPUK KAMBING 5KG</v>
      </c>
      <c r="I58" s="4">
        <v>1.0</v>
      </c>
      <c r="J58" s="5">
        <f>IFNA(VLOOKUP(E58,Master!D:U,14,0),0)</f>
        <v>15000</v>
      </c>
      <c r="K58" s="5">
        <v>0.0</v>
      </c>
      <c r="L58" s="5">
        <f t="shared" si="3"/>
        <v>15000</v>
      </c>
      <c r="M58" s="5">
        <f>IFNA(VLOOKUP(TRIM(E58),Master!D:U,13,0),"")</f>
        <v>8000</v>
      </c>
      <c r="N58" s="5">
        <f t="shared" si="4"/>
        <v>7000</v>
      </c>
      <c r="O58" s="16" t="s">
        <v>77</v>
      </c>
      <c r="P58" s="5">
        <f t="shared" si="5"/>
        <v>46.66666667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3" t="s">
        <v>64</v>
      </c>
      <c r="B59" s="2"/>
      <c r="C59" s="14"/>
      <c r="D59" s="3"/>
      <c r="E59" s="1" t="s">
        <v>78</v>
      </c>
      <c r="F59" s="1" t="str">
        <f t="shared" si="1"/>
        <v>03/02/26MT2003</v>
      </c>
      <c r="G59" s="1" t="str">
        <f t="shared" si="2"/>
        <v>T03/02/26</v>
      </c>
      <c r="H59" s="1" t="str">
        <f>IFNA(VLOOKUP(TRIM(E59),Master!D:M,4,0),"")</f>
        <v>ARANG 5KG</v>
      </c>
      <c r="I59" s="4">
        <v>1.0</v>
      </c>
      <c r="J59" s="5">
        <f>IFNA(VLOOKUP(E59,Master!D:U,14,0),0)</f>
        <v>15000</v>
      </c>
      <c r="K59" s="5">
        <v>0.0</v>
      </c>
      <c r="L59" s="5">
        <f t="shared" si="3"/>
        <v>15000</v>
      </c>
      <c r="M59" s="5">
        <f>IFNA(VLOOKUP(TRIM(E59),Master!D:U,13,0),"")</f>
        <v>8000</v>
      </c>
      <c r="N59" s="5">
        <f t="shared" si="4"/>
        <v>7000</v>
      </c>
      <c r="O59" s="16" t="s">
        <v>77</v>
      </c>
      <c r="P59" s="5">
        <f t="shared" si="5"/>
        <v>46.66666667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3" t="s">
        <v>64</v>
      </c>
      <c r="B60" s="13" t="s">
        <v>79</v>
      </c>
      <c r="C60" s="14"/>
      <c r="D60" s="15">
        <v>1.0</v>
      </c>
      <c r="E60" s="1" t="s">
        <v>37</v>
      </c>
      <c r="F60" s="1" t="str">
        <f t="shared" si="1"/>
        <v>03/02/26MT2050</v>
      </c>
      <c r="G60" s="1" t="str">
        <f t="shared" si="2"/>
        <v>C03/02/26</v>
      </c>
      <c r="H60" s="1" t="str">
        <f>IFNA(VLOOKUP(TRIM(E60),Master!D:M,4,0),"")</f>
        <v>TANAH SUBUR 10KG BINTANG TANI</v>
      </c>
      <c r="I60" s="16">
        <v>2.0</v>
      </c>
      <c r="J60" s="5">
        <f>IFNA(VLOOKUP(E60,Master!D:U,14,0),0)</f>
        <v>10000</v>
      </c>
      <c r="K60" s="5">
        <v>0.0</v>
      </c>
      <c r="L60" s="5">
        <f t="shared" si="3"/>
        <v>20000</v>
      </c>
      <c r="M60" s="5">
        <f>IFNA(VLOOKUP(TRIM(E60),Master!D:U,13,0),"")</f>
        <v>6000</v>
      </c>
      <c r="N60" s="5">
        <f t="shared" si="4"/>
        <v>8000</v>
      </c>
      <c r="O60" s="4" t="s">
        <v>19</v>
      </c>
      <c r="P60" s="5">
        <f t="shared" si="5"/>
        <v>40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3" t="s">
        <v>64</v>
      </c>
      <c r="B61" s="13" t="s">
        <v>79</v>
      </c>
      <c r="C61" s="14"/>
      <c r="D61" s="15">
        <v>1.0</v>
      </c>
      <c r="E61" s="1" t="s">
        <v>18</v>
      </c>
      <c r="F61" s="1" t="str">
        <f t="shared" si="1"/>
        <v>03/02/26PK5043</v>
      </c>
      <c r="G61" s="1" t="str">
        <f t="shared" si="2"/>
        <v>C03/02/26</v>
      </c>
      <c r="H61" s="1" t="str">
        <f>IFNA(VLOOKUP(TRIM(E61),Master!D:M,4,0),"")</f>
        <v>PUPUK KAMBING 5KG</v>
      </c>
      <c r="I61" s="4">
        <v>1.0</v>
      </c>
      <c r="J61" s="5">
        <f>IFNA(VLOOKUP(E61,Master!D:U,14,0),0)</f>
        <v>15000</v>
      </c>
      <c r="K61" s="5">
        <v>0.0</v>
      </c>
      <c r="L61" s="5">
        <f t="shared" si="3"/>
        <v>15000</v>
      </c>
      <c r="M61" s="5">
        <f>IFNA(VLOOKUP(TRIM(E61),Master!D:U,13,0),"")</f>
        <v>8000</v>
      </c>
      <c r="N61" s="5">
        <f t="shared" si="4"/>
        <v>7000</v>
      </c>
      <c r="O61" s="4" t="s">
        <v>19</v>
      </c>
      <c r="P61" s="5">
        <f t="shared" si="5"/>
        <v>46.66666667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3" t="s">
        <v>64</v>
      </c>
      <c r="B62" s="13" t="s">
        <v>80</v>
      </c>
      <c r="C62" s="14"/>
      <c r="D62" s="15">
        <v>1.0</v>
      </c>
      <c r="E62" s="1" t="s">
        <v>58</v>
      </c>
      <c r="F62" s="1" t="str">
        <f t="shared" si="1"/>
        <v>03/02/26MT2041</v>
      </c>
      <c r="G62" s="1" t="str">
        <f t="shared" si="2"/>
        <v>C03/02/26</v>
      </c>
      <c r="H62" s="1" t="str">
        <f>IFNA(VLOOKUP(TRIM(E62),Master!D:M,4,0),"")</f>
        <v>SEKAM BAKAR 5KG</v>
      </c>
      <c r="I62" s="4">
        <v>1.0</v>
      </c>
      <c r="J62" s="5">
        <f>IFNA(VLOOKUP(E62,Master!D:U,14,0),0)</f>
        <v>8000</v>
      </c>
      <c r="K62" s="5">
        <v>0.0</v>
      </c>
      <c r="L62" s="5">
        <f t="shared" si="3"/>
        <v>8000</v>
      </c>
      <c r="M62" s="5">
        <f>IFNA(VLOOKUP(TRIM(E62),Master!D:U,13,0),"")</f>
        <v>3400</v>
      </c>
      <c r="N62" s="5">
        <f t="shared" si="4"/>
        <v>4600</v>
      </c>
      <c r="O62" s="4" t="s">
        <v>19</v>
      </c>
      <c r="P62" s="5">
        <f t="shared" si="5"/>
        <v>57.5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3" t="s">
        <v>64</v>
      </c>
      <c r="B63" s="13" t="s">
        <v>80</v>
      </c>
      <c r="C63" s="14"/>
      <c r="D63" s="15">
        <v>1.0</v>
      </c>
      <c r="E63" s="1" t="s">
        <v>37</v>
      </c>
      <c r="F63" s="1" t="str">
        <f t="shared" si="1"/>
        <v>03/02/26MT2050</v>
      </c>
      <c r="G63" s="1" t="str">
        <f t="shared" si="2"/>
        <v>C03/02/26</v>
      </c>
      <c r="H63" s="1" t="str">
        <f>IFNA(VLOOKUP(TRIM(E63),Master!D:M,4,0),"")</f>
        <v>TANAH SUBUR 10KG BINTANG TANI</v>
      </c>
      <c r="I63" s="4">
        <v>1.0</v>
      </c>
      <c r="J63" s="5">
        <f>IFNA(VLOOKUP(E63,Master!D:U,14,0),0)</f>
        <v>10000</v>
      </c>
      <c r="K63" s="5">
        <v>0.0</v>
      </c>
      <c r="L63" s="5">
        <f t="shared" si="3"/>
        <v>10000</v>
      </c>
      <c r="M63" s="5">
        <f>IFNA(VLOOKUP(TRIM(E63),Master!D:U,13,0),"")</f>
        <v>6000</v>
      </c>
      <c r="N63" s="5">
        <f t="shared" si="4"/>
        <v>4000</v>
      </c>
      <c r="O63" s="4" t="s">
        <v>19</v>
      </c>
      <c r="P63" s="5">
        <f t="shared" si="5"/>
        <v>40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3" t="s">
        <v>64</v>
      </c>
      <c r="B64" s="13" t="s">
        <v>81</v>
      </c>
      <c r="C64" s="14"/>
      <c r="D64" s="15">
        <v>1.0</v>
      </c>
      <c r="E64" s="1" t="s">
        <v>82</v>
      </c>
      <c r="F64" s="1" t="str">
        <f t="shared" si="1"/>
        <v>03/02/26PS4013</v>
      </c>
      <c r="G64" s="1" t="str">
        <f t="shared" si="2"/>
        <v>I03/02/26</v>
      </c>
      <c r="H64" s="1" t="str">
        <f>IFNA(VLOOKUP(TRIM(E64),Master!D:M,4,0),"")</f>
        <v>ALIKA 50ML</v>
      </c>
      <c r="I64" s="4">
        <v>1.0</v>
      </c>
      <c r="J64" s="5">
        <f>IFNA(VLOOKUP(E64,Master!D:U,14,0),0)</f>
        <v>42000</v>
      </c>
      <c r="K64" s="5">
        <v>0.0</v>
      </c>
      <c r="L64" s="5">
        <f t="shared" si="3"/>
        <v>42000</v>
      </c>
      <c r="M64" s="5">
        <f>IFNA(VLOOKUP(TRIM(E64),Master!D:U,13,0),"")</f>
        <v>36000</v>
      </c>
      <c r="N64" s="5">
        <f t="shared" si="4"/>
        <v>6000</v>
      </c>
      <c r="O64" s="16" t="s">
        <v>23</v>
      </c>
      <c r="P64" s="5">
        <f t="shared" si="5"/>
        <v>14.28571429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3" t="s">
        <v>83</v>
      </c>
      <c r="B65" s="13" t="s">
        <v>84</v>
      </c>
      <c r="C65" s="14"/>
      <c r="D65" s="15">
        <v>1.0</v>
      </c>
      <c r="E65" s="1" t="s">
        <v>85</v>
      </c>
      <c r="F65" s="1" t="str">
        <f t="shared" si="1"/>
        <v>04/02/26PS4009</v>
      </c>
      <c r="G65" s="1" t="str">
        <f t="shared" si="2"/>
        <v>O04/02/26</v>
      </c>
      <c r="H65" s="1" t="str">
        <f>IFNA(VLOOKUP(TRIM(E65),Master!D:M,4,0),"")</f>
        <v>ROUNDUP 200ML</v>
      </c>
      <c r="I65" s="4">
        <v>1.0</v>
      </c>
      <c r="J65" s="5">
        <f>IFNA(VLOOKUP(E65,Master!D:U,14,0),0)</f>
        <v>35000</v>
      </c>
      <c r="K65" s="5">
        <v>0.0</v>
      </c>
      <c r="L65" s="5">
        <f t="shared" si="3"/>
        <v>35000</v>
      </c>
      <c r="M65" s="5">
        <f>IFNA(VLOOKUP(TRIM(E65),Master!D:U,13,0),"")</f>
        <v>23000</v>
      </c>
      <c r="N65" s="5">
        <f t="shared" si="4"/>
        <v>12000</v>
      </c>
      <c r="O65" s="16" t="s">
        <v>28</v>
      </c>
      <c r="P65" s="5">
        <f t="shared" si="5"/>
        <v>34.28571429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3" t="s">
        <v>83</v>
      </c>
      <c r="B66" s="13" t="s">
        <v>86</v>
      </c>
      <c r="C66" s="14"/>
      <c r="D66" s="15">
        <v>1.0</v>
      </c>
      <c r="E66" s="1" t="s">
        <v>37</v>
      </c>
      <c r="F66" s="1" t="str">
        <f t="shared" si="1"/>
        <v>04/02/26MT2050</v>
      </c>
      <c r="G66" s="1" t="str">
        <f t="shared" si="2"/>
        <v>I04/02/26</v>
      </c>
      <c r="H66" s="1" t="str">
        <f>IFNA(VLOOKUP(TRIM(E66),Master!D:M,4,0),"")</f>
        <v>TANAH SUBUR 10KG BINTANG TANI</v>
      </c>
      <c r="I66" s="4">
        <v>1.0</v>
      </c>
      <c r="J66" s="5">
        <f>IFNA(VLOOKUP(E66,Master!D:U,14,0),0)</f>
        <v>10000</v>
      </c>
      <c r="K66" s="5">
        <v>0.0</v>
      </c>
      <c r="L66" s="5">
        <f t="shared" si="3"/>
        <v>10000</v>
      </c>
      <c r="M66" s="5">
        <f>IFNA(VLOOKUP(TRIM(E66),Master!D:U,13,0),"")</f>
        <v>6000</v>
      </c>
      <c r="N66" s="5">
        <f t="shared" si="4"/>
        <v>4000</v>
      </c>
      <c r="O66" s="16" t="s">
        <v>23</v>
      </c>
      <c r="P66" s="5">
        <f t="shared" si="5"/>
        <v>40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3" t="s">
        <v>83</v>
      </c>
      <c r="B67" s="2"/>
      <c r="C67" s="14"/>
      <c r="D67" s="3"/>
      <c r="E67" s="1" t="s">
        <v>87</v>
      </c>
      <c r="F67" s="1" t="str">
        <f t="shared" si="1"/>
        <v>04/02/26PK5052</v>
      </c>
      <c r="G67" s="1" t="str">
        <f t="shared" si="2"/>
        <v>I04/02/26</v>
      </c>
      <c r="H67" s="1" t="str">
        <f>IFNA(VLOOKUP(TRIM(E67),Master!D:M,4,0),"")</f>
        <v>PUPUK NPK 161616 PAK TANI</v>
      </c>
      <c r="I67" s="4">
        <v>1.0</v>
      </c>
      <c r="J67" s="5">
        <f>IFNA(VLOOKUP(E67,Master!D:U,14,0),0)</f>
        <v>25000</v>
      </c>
      <c r="K67" s="5">
        <v>0.0</v>
      </c>
      <c r="L67" s="5">
        <f t="shared" si="3"/>
        <v>25000</v>
      </c>
      <c r="M67" s="5">
        <f>IFNA(VLOOKUP(TRIM(E67),Master!D:U,13,0),"")</f>
        <v>17050</v>
      </c>
      <c r="N67" s="5">
        <f t="shared" si="4"/>
        <v>7950</v>
      </c>
      <c r="O67" s="16" t="s">
        <v>23</v>
      </c>
      <c r="P67" s="5">
        <f t="shared" si="5"/>
        <v>31.8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3" t="s">
        <v>83</v>
      </c>
      <c r="B68" s="13" t="s">
        <v>88</v>
      </c>
      <c r="C68" s="14"/>
      <c r="D68" s="15">
        <v>1.0</v>
      </c>
      <c r="E68" s="1" t="s">
        <v>89</v>
      </c>
      <c r="F68" s="1" t="str">
        <f t="shared" si="1"/>
        <v>04/02/26PL3079</v>
      </c>
      <c r="G68" s="1" t="str">
        <f t="shared" si="2"/>
        <v>O04/02/26</v>
      </c>
      <c r="H68" s="1" t="str">
        <f>IFNA(VLOOKUP(TRIM(E68),Master!D:M,4,0),"")</f>
        <v>NAME TAG TANAMAN</v>
      </c>
      <c r="I68" s="16">
        <v>10.0</v>
      </c>
      <c r="J68" s="5">
        <f>IFNA(VLOOKUP(E68,Master!D:U,14,0),0)</f>
        <v>1000</v>
      </c>
      <c r="K68" s="5">
        <v>0.0</v>
      </c>
      <c r="L68" s="5">
        <f t="shared" si="3"/>
        <v>10000</v>
      </c>
      <c r="M68" s="5">
        <f>IFNA(VLOOKUP(TRIM(E68),Master!D:U,13,0),"")</f>
        <v>200</v>
      </c>
      <c r="N68" s="5">
        <f t="shared" si="4"/>
        <v>8000</v>
      </c>
      <c r="O68" s="16" t="s">
        <v>28</v>
      </c>
      <c r="P68" s="5">
        <f t="shared" si="5"/>
        <v>80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3" t="s">
        <v>83</v>
      </c>
      <c r="B69" s="2"/>
      <c r="C69" s="14"/>
      <c r="D69" s="3"/>
      <c r="E69" s="17" t="s">
        <v>66</v>
      </c>
      <c r="F69" s="1" t="str">
        <f t="shared" si="1"/>
        <v>04/02/26PL3038</v>
      </c>
      <c r="G69" s="1" t="str">
        <f t="shared" si="2"/>
        <v>O04/02/26</v>
      </c>
      <c r="H69" s="1" t="str">
        <f>IFNA(VLOOKUP(TRIM(E69),Master!D:M,4,0),"")</f>
        <v>KAWAT BONSAI SILVER NO.1 ECERAN</v>
      </c>
      <c r="I69" s="16">
        <v>10.0</v>
      </c>
      <c r="J69" s="5">
        <f>IFNA(VLOOKUP(E69,Master!D:U,14,0),0)</f>
        <v>500</v>
      </c>
      <c r="K69" s="5">
        <v>0.0</v>
      </c>
      <c r="L69" s="5">
        <f t="shared" si="3"/>
        <v>5000</v>
      </c>
      <c r="M69" s="5">
        <f>IFNA(VLOOKUP(TRIM(E69),Master!D:U,13,0),"")</f>
        <v>267</v>
      </c>
      <c r="N69" s="5">
        <f t="shared" si="4"/>
        <v>2330</v>
      </c>
      <c r="O69" s="16" t="s">
        <v>28</v>
      </c>
      <c r="P69" s="5">
        <f t="shared" si="5"/>
        <v>46.6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3" t="s">
        <v>83</v>
      </c>
      <c r="B70" s="2"/>
      <c r="C70" s="14"/>
      <c r="D70" s="3"/>
      <c r="E70" s="1" t="s">
        <v>33</v>
      </c>
      <c r="F70" s="1" t="str">
        <f t="shared" si="1"/>
        <v>04/02/26PL3040</v>
      </c>
      <c r="G70" s="1" t="str">
        <f t="shared" si="2"/>
        <v>O04/02/26</v>
      </c>
      <c r="H70" s="1" t="str">
        <f>IFNA(VLOOKUP(TRIM(E70),Master!D:M,4,0),"")</f>
        <v>KAWAT BONSAI SILVER NO.1.5 ECERAN</v>
      </c>
      <c r="I70" s="16">
        <v>10.0</v>
      </c>
      <c r="J70" s="5">
        <f>IFNA(VLOOKUP(E70,Master!D:U,14,0),0)</f>
        <v>750</v>
      </c>
      <c r="K70" s="5">
        <v>0.0</v>
      </c>
      <c r="L70" s="5">
        <f t="shared" si="3"/>
        <v>7500</v>
      </c>
      <c r="M70" s="5">
        <f>IFNA(VLOOKUP(TRIM(E70),Master!D:U,13,0),"")</f>
        <v>444</v>
      </c>
      <c r="N70" s="5">
        <f t="shared" si="4"/>
        <v>3060</v>
      </c>
      <c r="O70" s="16" t="s">
        <v>28</v>
      </c>
      <c r="P70" s="5">
        <f t="shared" si="5"/>
        <v>40.8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3" t="s">
        <v>83</v>
      </c>
      <c r="B71" s="2"/>
      <c r="C71" s="14"/>
      <c r="D71" s="3"/>
      <c r="E71" s="1" t="s">
        <v>90</v>
      </c>
      <c r="F71" s="1" t="str">
        <f t="shared" si="1"/>
        <v>04/02/26PK5067</v>
      </c>
      <c r="G71" s="1" t="str">
        <f t="shared" si="2"/>
        <v>O04/02/26</v>
      </c>
      <c r="H71" s="1" t="str">
        <f>IFNA(VLOOKUP(TRIM(E71),Master!D:M,4,0),"")</f>
        <v>PUPUK XPK PCK 100GR</v>
      </c>
      <c r="I71" s="4">
        <v>1.0</v>
      </c>
      <c r="J71" s="5">
        <f>IFNA(VLOOKUP(E71,Master!D:U,14,0),0)</f>
        <v>15000</v>
      </c>
      <c r="K71" s="5">
        <v>0.0</v>
      </c>
      <c r="L71" s="5">
        <f t="shared" si="3"/>
        <v>15000</v>
      </c>
      <c r="M71" s="5">
        <f>IFNA(VLOOKUP(TRIM(E71),Master!D:U,13,0),"")</f>
        <v>7500</v>
      </c>
      <c r="N71" s="5">
        <f t="shared" si="4"/>
        <v>7500</v>
      </c>
      <c r="O71" s="16" t="s">
        <v>28</v>
      </c>
      <c r="P71" s="5">
        <f t="shared" si="5"/>
        <v>50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3" t="s">
        <v>83</v>
      </c>
      <c r="B72" s="2"/>
      <c r="C72" s="14"/>
      <c r="D72" s="3"/>
      <c r="E72" s="1" t="s">
        <v>91</v>
      </c>
      <c r="F72" s="1" t="str">
        <f t="shared" si="1"/>
        <v>04/02/26PK5048</v>
      </c>
      <c r="G72" s="1" t="str">
        <f t="shared" si="2"/>
        <v>O04/02/26</v>
      </c>
      <c r="H72" s="1" t="str">
        <f>IFNA(VLOOKUP(TRIM(E72),Master!D:M,4,0),"")</f>
        <v>PUPUK MUTIARA 161616 100GR RPK</v>
      </c>
      <c r="I72" s="4">
        <v>1.0</v>
      </c>
      <c r="J72" s="5">
        <f>IFNA(VLOOKUP(E72,Master!D:U,14,0),0)</f>
        <v>3000</v>
      </c>
      <c r="K72" s="5">
        <v>0.0</v>
      </c>
      <c r="L72" s="5">
        <f t="shared" si="3"/>
        <v>3000</v>
      </c>
      <c r="M72" s="5">
        <f>IFNA(VLOOKUP(TRIM(E72),Master!D:U,13,0),"")</f>
        <v>1900</v>
      </c>
      <c r="N72" s="5">
        <f t="shared" si="4"/>
        <v>1100</v>
      </c>
      <c r="O72" s="16" t="s">
        <v>28</v>
      </c>
      <c r="P72" s="5">
        <f t="shared" si="5"/>
        <v>36.66666667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3" t="s">
        <v>83</v>
      </c>
      <c r="B73" s="13" t="s">
        <v>92</v>
      </c>
      <c r="C73" s="14"/>
      <c r="D73" s="15">
        <v>1.0</v>
      </c>
      <c r="E73" s="1" t="s">
        <v>25</v>
      </c>
      <c r="F73" s="1" t="str">
        <f t="shared" si="1"/>
        <v>04/02/26PK5041</v>
      </c>
      <c r="G73" s="1" t="str">
        <f t="shared" si="2"/>
        <v>C04/02/26</v>
      </c>
      <c r="H73" s="1" t="str">
        <f>IFNA(VLOOKUP(TRIM(E73),Master!D:M,4,0),"")</f>
        <v>PUPUK BOOSTER 76 250ML</v>
      </c>
      <c r="I73" s="4">
        <v>1.0</v>
      </c>
      <c r="J73" s="5">
        <f>IFNA(VLOOKUP(E73,Master!D:U,14,0),0)</f>
        <v>45000</v>
      </c>
      <c r="K73" s="5">
        <v>0.0</v>
      </c>
      <c r="L73" s="5">
        <f t="shared" si="3"/>
        <v>45000</v>
      </c>
      <c r="M73" s="5">
        <f>IFNA(VLOOKUP(TRIM(E73),Master!D:U,13,0),"")</f>
        <v>25000</v>
      </c>
      <c r="N73" s="5">
        <f t="shared" si="4"/>
        <v>20000</v>
      </c>
      <c r="O73" s="4" t="s">
        <v>19</v>
      </c>
      <c r="P73" s="5">
        <f t="shared" si="5"/>
        <v>44.44444444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3" t="s">
        <v>83</v>
      </c>
      <c r="B74" s="13" t="s">
        <v>79</v>
      </c>
      <c r="C74" s="14"/>
      <c r="D74" s="15">
        <v>1.0</v>
      </c>
      <c r="E74" s="1" t="s">
        <v>37</v>
      </c>
      <c r="F74" s="1" t="str">
        <f t="shared" si="1"/>
        <v>04/02/26MT2050</v>
      </c>
      <c r="G74" s="1" t="str">
        <f t="shared" si="2"/>
        <v>C04/02/26</v>
      </c>
      <c r="H74" s="1" t="str">
        <f>IFNA(VLOOKUP(TRIM(E74),Master!D:M,4,0),"")</f>
        <v>TANAH SUBUR 10KG BINTANG TANI</v>
      </c>
      <c r="I74" s="4">
        <v>1.0</v>
      </c>
      <c r="J74" s="5">
        <f>IFNA(VLOOKUP(E74,Master!D:U,14,0),0)</f>
        <v>10000</v>
      </c>
      <c r="K74" s="5">
        <v>0.0</v>
      </c>
      <c r="L74" s="5">
        <f t="shared" si="3"/>
        <v>10000</v>
      </c>
      <c r="M74" s="5">
        <f>IFNA(VLOOKUP(TRIM(E74),Master!D:U,13,0),"")</f>
        <v>6000</v>
      </c>
      <c r="N74" s="5">
        <f t="shared" si="4"/>
        <v>4000</v>
      </c>
      <c r="O74" s="4" t="s">
        <v>19</v>
      </c>
      <c r="P74" s="5">
        <f t="shared" si="5"/>
        <v>40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3" t="s">
        <v>83</v>
      </c>
      <c r="B75" s="13" t="s">
        <v>79</v>
      </c>
      <c r="C75" s="14"/>
      <c r="D75" s="15">
        <v>1.0</v>
      </c>
      <c r="E75" s="1" t="s">
        <v>85</v>
      </c>
      <c r="F75" s="1" t="str">
        <f t="shared" si="1"/>
        <v>04/02/26PS4009</v>
      </c>
      <c r="G75" s="1" t="str">
        <f t="shared" si="2"/>
        <v>C04/02/26</v>
      </c>
      <c r="H75" s="1" t="str">
        <f>IFNA(VLOOKUP(TRIM(E75),Master!D:M,4,0),"")</f>
        <v>ROUNDUP 200ML</v>
      </c>
      <c r="I75" s="4">
        <v>1.0</v>
      </c>
      <c r="J75" s="5">
        <f>IFNA(VLOOKUP(E75,Master!D:U,14,0),0)</f>
        <v>35000</v>
      </c>
      <c r="K75" s="5">
        <v>0.0</v>
      </c>
      <c r="L75" s="5">
        <f t="shared" si="3"/>
        <v>35000</v>
      </c>
      <c r="M75" s="5">
        <f>IFNA(VLOOKUP(TRIM(E75),Master!D:U,13,0),"")</f>
        <v>23000</v>
      </c>
      <c r="N75" s="5">
        <f t="shared" si="4"/>
        <v>12000</v>
      </c>
      <c r="O75" s="4" t="s">
        <v>19</v>
      </c>
      <c r="P75" s="5">
        <f t="shared" si="5"/>
        <v>34.28571429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3" t="s">
        <v>83</v>
      </c>
      <c r="B76" s="13" t="s">
        <v>93</v>
      </c>
      <c r="C76" s="14"/>
      <c r="D76" s="15">
        <v>1.0</v>
      </c>
      <c r="E76" s="1" t="s">
        <v>37</v>
      </c>
      <c r="F76" s="1" t="str">
        <f t="shared" si="1"/>
        <v>04/02/26MT2050</v>
      </c>
      <c r="G76" s="1" t="str">
        <f t="shared" si="2"/>
        <v>C04/02/26</v>
      </c>
      <c r="H76" s="1" t="str">
        <f>IFNA(VLOOKUP(TRIM(E76),Master!D:M,4,0),"")</f>
        <v>TANAH SUBUR 10KG BINTANG TANI</v>
      </c>
      <c r="I76" s="4">
        <v>1.0</v>
      </c>
      <c r="J76" s="5">
        <f>IFNA(VLOOKUP(E76,Master!D:U,14,0),0)</f>
        <v>10000</v>
      </c>
      <c r="K76" s="5">
        <v>0.0</v>
      </c>
      <c r="L76" s="5">
        <f t="shared" si="3"/>
        <v>10000</v>
      </c>
      <c r="M76" s="5">
        <f>IFNA(VLOOKUP(TRIM(E76),Master!D:U,13,0),"")</f>
        <v>6000</v>
      </c>
      <c r="N76" s="5">
        <f t="shared" si="4"/>
        <v>4000</v>
      </c>
      <c r="O76" s="4" t="s">
        <v>19</v>
      </c>
      <c r="P76" s="5">
        <f t="shared" si="5"/>
        <v>40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3" t="s">
        <v>83</v>
      </c>
      <c r="B77" s="2"/>
      <c r="C77" s="14"/>
      <c r="D77" s="3"/>
      <c r="E77" s="1" t="s">
        <v>94</v>
      </c>
      <c r="F77" s="1" t="str">
        <f t="shared" si="1"/>
        <v>04/02/26MT2039</v>
      </c>
      <c r="G77" s="1" t="str">
        <f t="shared" si="2"/>
        <v>C04/02/26</v>
      </c>
      <c r="H77" s="1" t="str">
        <f>IFNA(VLOOKUP(TRIM(E77),Master!D:M,4,0),"")</f>
        <v>SEKAM BAKAR 10KG</v>
      </c>
      <c r="I77" s="4">
        <v>1.0</v>
      </c>
      <c r="J77" s="5">
        <f>IFNA(VLOOKUP(E77,Master!D:U,14,0),0)</f>
        <v>12000</v>
      </c>
      <c r="K77" s="5">
        <v>0.0</v>
      </c>
      <c r="L77" s="5">
        <f t="shared" si="3"/>
        <v>12000</v>
      </c>
      <c r="M77" s="5">
        <f>IFNA(VLOOKUP(TRIM(E77),Master!D:U,13,0),"")</f>
        <v>6000</v>
      </c>
      <c r="N77" s="5">
        <f t="shared" si="4"/>
        <v>6000</v>
      </c>
      <c r="O77" s="4" t="s">
        <v>19</v>
      </c>
      <c r="P77" s="5">
        <f t="shared" si="5"/>
        <v>50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3" t="s">
        <v>83</v>
      </c>
      <c r="B78" s="13" t="s">
        <v>95</v>
      </c>
      <c r="C78" s="14"/>
      <c r="D78" s="15">
        <v>1.0</v>
      </c>
      <c r="E78" s="1" t="s">
        <v>96</v>
      </c>
      <c r="F78" s="1" t="str">
        <f t="shared" si="1"/>
        <v>04/02/26PL3073</v>
      </c>
      <c r="G78" s="1" t="str">
        <f t="shared" si="2"/>
        <v>T04/02/26</v>
      </c>
      <c r="H78" s="1" t="str">
        <f>IFNA(VLOOKUP(TRIM(E78),Master!D:M,4,0),"")</f>
        <v>GERGAJI BONSAI MINI</v>
      </c>
      <c r="I78" s="4">
        <v>1.0</v>
      </c>
      <c r="J78" s="5">
        <f>IFNA(VLOOKUP(E78,Master!D:U,14,0),0)</f>
        <v>60000</v>
      </c>
      <c r="K78" s="5">
        <v>0.0</v>
      </c>
      <c r="L78" s="5">
        <f t="shared" si="3"/>
        <v>60000</v>
      </c>
      <c r="M78" s="5">
        <f>IFNA(VLOOKUP(TRIM(E78),Master!D:U,13,0),"")</f>
        <v>37262</v>
      </c>
      <c r="N78" s="5">
        <f t="shared" si="4"/>
        <v>22738</v>
      </c>
      <c r="O78" s="16" t="s">
        <v>77</v>
      </c>
      <c r="P78" s="5">
        <f t="shared" si="5"/>
        <v>37.89666667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3" t="s">
        <v>83</v>
      </c>
      <c r="B79" s="13" t="s">
        <v>95</v>
      </c>
      <c r="C79" s="14"/>
      <c r="D79" s="15">
        <v>1.0</v>
      </c>
      <c r="E79" s="1" t="s">
        <v>37</v>
      </c>
      <c r="F79" s="1" t="str">
        <f t="shared" si="1"/>
        <v>04/02/26MT2050</v>
      </c>
      <c r="G79" s="1" t="str">
        <f t="shared" si="2"/>
        <v>C04/02/26</v>
      </c>
      <c r="H79" s="1" t="str">
        <f>IFNA(VLOOKUP(TRIM(E79),Master!D:M,4,0),"")</f>
        <v>TANAH SUBUR 10KG BINTANG TANI</v>
      </c>
      <c r="I79" s="4">
        <v>1.0</v>
      </c>
      <c r="J79" s="5">
        <f>IFNA(VLOOKUP(E79,Master!D:U,14,0),0)</f>
        <v>10000</v>
      </c>
      <c r="K79" s="5">
        <v>0.0</v>
      </c>
      <c r="L79" s="5">
        <f t="shared" si="3"/>
        <v>10000</v>
      </c>
      <c r="M79" s="5">
        <f>IFNA(VLOOKUP(TRIM(E79),Master!D:U,13,0),"")</f>
        <v>6000</v>
      </c>
      <c r="N79" s="5">
        <f t="shared" si="4"/>
        <v>4000</v>
      </c>
      <c r="O79" s="4" t="s">
        <v>19</v>
      </c>
      <c r="P79" s="5">
        <f t="shared" si="5"/>
        <v>40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3" t="s">
        <v>83</v>
      </c>
      <c r="B80" s="2"/>
      <c r="C80" s="14"/>
      <c r="D80" s="3"/>
      <c r="E80" s="17" t="s">
        <v>97</v>
      </c>
      <c r="F80" s="1" t="str">
        <f t="shared" si="1"/>
        <v>04/02/26PL3164</v>
      </c>
      <c r="G80" s="1" t="str">
        <f t="shared" si="2"/>
        <v>C04/02/26</v>
      </c>
      <c r="H80" s="1" t="str">
        <f>IFNA(VLOOKUP(TRIM(E80),Master!D:M,4,0),"")</f>
        <v>POT GMP HITAM 35 POLOS</v>
      </c>
      <c r="I80" s="16">
        <v>2.0</v>
      </c>
      <c r="J80" s="5">
        <f>IFNA(VLOOKUP(E80,Master!D:U,14,0),0)</f>
        <v>14000</v>
      </c>
      <c r="K80" s="5">
        <v>0.0</v>
      </c>
      <c r="L80" s="5">
        <f t="shared" si="3"/>
        <v>28000</v>
      </c>
      <c r="M80" s="5">
        <f>IFNA(VLOOKUP(TRIM(E80),Master!D:U,13,0),"")</f>
        <v>10250</v>
      </c>
      <c r="N80" s="5">
        <f t="shared" si="4"/>
        <v>7500</v>
      </c>
      <c r="O80" s="4" t="s">
        <v>19</v>
      </c>
      <c r="P80" s="5">
        <f t="shared" si="5"/>
        <v>26.78571429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3" t="s">
        <v>83</v>
      </c>
      <c r="B81" s="13" t="s">
        <v>98</v>
      </c>
      <c r="C81" s="14"/>
      <c r="D81" s="15">
        <v>1.0</v>
      </c>
      <c r="E81" s="1" t="s">
        <v>37</v>
      </c>
      <c r="F81" s="1" t="str">
        <f t="shared" si="1"/>
        <v>04/02/26MT2050</v>
      </c>
      <c r="G81" s="1" t="str">
        <f t="shared" si="2"/>
        <v>C04/02/26</v>
      </c>
      <c r="H81" s="1" t="str">
        <f>IFNA(VLOOKUP(TRIM(E81),Master!D:M,4,0),"")</f>
        <v>TANAH SUBUR 10KG BINTANG TANI</v>
      </c>
      <c r="I81" s="16">
        <v>2.0</v>
      </c>
      <c r="J81" s="5">
        <f>IFNA(VLOOKUP(E81,Master!D:U,14,0),0)</f>
        <v>10000</v>
      </c>
      <c r="K81" s="5">
        <v>0.0</v>
      </c>
      <c r="L81" s="5">
        <f t="shared" si="3"/>
        <v>20000</v>
      </c>
      <c r="M81" s="5">
        <f>IFNA(VLOOKUP(TRIM(E81),Master!D:U,13,0),"")</f>
        <v>6000</v>
      </c>
      <c r="N81" s="5">
        <f t="shared" si="4"/>
        <v>8000</v>
      </c>
      <c r="O81" s="4" t="s">
        <v>19</v>
      </c>
      <c r="P81" s="5">
        <f t="shared" si="5"/>
        <v>40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3" t="s">
        <v>83</v>
      </c>
      <c r="B82" s="2"/>
      <c r="C82" s="14"/>
      <c r="D82" s="3"/>
      <c r="E82" s="17" t="s">
        <v>97</v>
      </c>
      <c r="F82" s="1" t="str">
        <f t="shared" si="1"/>
        <v>04/02/26PL3164</v>
      </c>
      <c r="G82" s="1" t="str">
        <f t="shared" si="2"/>
        <v>C04/02/26</v>
      </c>
      <c r="H82" s="1" t="str">
        <f>IFNA(VLOOKUP(TRIM(E82),Master!D:M,4,0),"")</f>
        <v>POT GMP HITAM 35 POLOS</v>
      </c>
      <c r="I82" s="16">
        <v>3.0</v>
      </c>
      <c r="J82" s="5">
        <f>IFNA(VLOOKUP(E82,Master!D:U,14,0),0)</f>
        <v>14000</v>
      </c>
      <c r="K82" s="5">
        <v>0.0</v>
      </c>
      <c r="L82" s="5">
        <f t="shared" si="3"/>
        <v>42000</v>
      </c>
      <c r="M82" s="5">
        <f>IFNA(VLOOKUP(TRIM(E82),Master!D:U,13,0),"")</f>
        <v>10250</v>
      </c>
      <c r="N82" s="5">
        <f t="shared" si="4"/>
        <v>11250</v>
      </c>
      <c r="O82" s="4" t="s">
        <v>19</v>
      </c>
      <c r="P82" s="5">
        <f t="shared" si="5"/>
        <v>26.78571429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3" t="s">
        <v>83</v>
      </c>
      <c r="B83" s="13" t="s">
        <v>99</v>
      </c>
      <c r="C83" s="14"/>
      <c r="D83" s="15">
        <v>1.0</v>
      </c>
      <c r="E83" s="1" t="s">
        <v>100</v>
      </c>
      <c r="F83" s="1" t="str">
        <f t="shared" si="1"/>
        <v>04/02/26MT2052</v>
      </c>
      <c r="G83" s="1" t="str">
        <f t="shared" si="2"/>
        <v>C04/02/26</v>
      </c>
      <c r="H83" s="1" t="str">
        <f>IFNA(VLOOKUP(TRIM(E83),Master!D:M,4,0),"")</f>
        <v>TANAH SUBUR 1KG BINTANG TANI</v>
      </c>
      <c r="I83" s="16">
        <v>2.0</v>
      </c>
      <c r="J83" s="5">
        <f>IFNA(VLOOKUP(E83,Master!D:U,14,0),0)</f>
        <v>3000</v>
      </c>
      <c r="K83" s="5">
        <v>0.0</v>
      </c>
      <c r="L83" s="5">
        <f t="shared" si="3"/>
        <v>6000</v>
      </c>
      <c r="M83" s="5">
        <f>IFNA(VLOOKUP(TRIM(E83),Master!D:U,13,0),"")</f>
        <v>1200</v>
      </c>
      <c r="N83" s="5">
        <f t="shared" si="4"/>
        <v>3600</v>
      </c>
      <c r="O83" s="4" t="s">
        <v>19</v>
      </c>
      <c r="P83" s="5">
        <f t="shared" si="5"/>
        <v>60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3" t="s">
        <v>83</v>
      </c>
      <c r="B84" s="13" t="s">
        <v>101</v>
      </c>
      <c r="C84" s="14"/>
      <c r="D84" s="15">
        <v>1.0</v>
      </c>
      <c r="E84" s="1" t="s">
        <v>102</v>
      </c>
      <c r="F84" s="1" t="str">
        <f t="shared" si="1"/>
        <v>04/02/26PS4011</v>
      </c>
      <c r="G84" s="1" t="str">
        <f t="shared" si="2"/>
        <v>C04/02/26</v>
      </c>
      <c r="H84" s="1" t="str">
        <f>IFNA(VLOOKUP(TRIM(E84),Master!D:M,4,0),"")</f>
        <v>STARLON 665 EC HERBISIDA 100ML</v>
      </c>
      <c r="I84" s="16">
        <v>2.0</v>
      </c>
      <c r="J84" s="5">
        <f>IFNA(VLOOKUP(E84,Master!D:U,14,0),0)</f>
        <v>45000</v>
      </c>
      <c r="K84" s="5">
        <v>0.0</v>
      </c>
      <c r="L84" s="5">
        <f t="shared" si="3"/>
        <v>90000</v>
      </c>
      <c r="M84" s="5">
        <f>IFNA(VLOOKUP(TRIM(E84),Master!D:U,13,0),"")</f>
        <v>35000</v>
      </c>
      <c r="N84" s="5">
        <f t="shared" si="4"/>
        <v>20000</v>
      </c>
      <c r="O84" s="4" t="s">
        <v>19</v>
      </c>
      <c r="P84" s="5">
        <f t="shared" si="5"/>
        <v>22.22222222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3" t="s">
        <v>103</v>
      </c>
      <c r="B85" s="13" t="s">
        <v>104</v>
      </c>
      <c r="C85" s="14"/>
      <c r="D85" s="15">
        <v>1.0</v>
      </c>
      <c r="E85" s="17" t="s">
        <v>42</v>
      </c>
      <c r="F85" s="1" t="str">
        <f t="shared" si="1"/>
        <v>05/02/26PL3042</v>
      </c>
      <c r="G85" s="1" t="str">
        <f t="shared" si="2"/>
        <v>O05/02/26</v>
      </c>
      <c r="H85" s="1" t="str">
        <f>IFNA(VLOOKUP(TRIM(E85),Master!D:M,4,0),"")</f>
        <v>KAWAT BONSAI SILVER NO.2 ECERAN</v>
      </c>
      <c r="I85" s="16">
        <v>10.0</v>
      </c>
      <c r="J85" s="5">
        <f>IFNA(VLOOKUP(E85,Master!D:U,14,0),0)</f>
        <v>1500</v>
      </c>
      <c r="K85" s="5">
        <v>0.0</v>
      </c>
      <c r="L85" s="5">
        <f t="shared" si="3"/>
        <v>15000</v>
      </c>
      <c r="M85" s="5">
        <f>IFNA(VLOOKUP(TRIM(E85),Master!D:U,13,0),"")</f>
        <v>800</v>
      </c>
      <c r="N85" s="5">
        <f t="shared" si="4"/>
        <v>7000</v>
      </c>
      <c r="O85" s="16" t="s">
        <v>28</v>
      </c>
      <c r="P85" s="5">
        <f t="shared" si="5"/>
        <v>46.66666667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3" t="s">
        <v>103</v>
      </c>
      <c r="B86" s="13" t="s">
        <v>105</v>
      </c>
      <c r="C86" s="14"/>
      <c r="D86" s="15">
        <v>1.0</v>
      </c>
      <c r="E86" s="1" t="s">
        <v>106</v>
      </c>
      <c r="F86" s="1" t="str">
        <f t="shared" si="1"/>
        <v>05/02/26PL3063</v>
      </c>
      <c r="G86" s="1" t="str">
        <f t="shared" si="2"/>
        <v>C05/02/26</v>
      </c>
      <c r="H86" s="1" t="str">
        <f>IFNA(VLOOKUP(TRIM(E86),Master!D:M,4,0),"")</f>
        <v>BENANG EXTRA BESAR</v>
      </c>
      <c r="I86" s="4">
        <v>1.0</v>
      </c>
      <c r="J86" s="5">
        <f>IFNA(VLOOKUP(E86,Master!D:U,14,0),0)</f>
        <v>22000</v>
      </c>
      <c r="K86" s="18">
        <v>-3000.0</v>
      </c>
      <c r="L86" s="5">
        <f t="shared" si="3"/>
        <v>25000</v>
      </c>
      <c r="M86" s="5">
        <f>IFNA(VLOOKUP(TRIM(E86),Master!D:U,13,0),"")</f>
        <v>17000</v>
      </c>
      <c r="N86" s="5">
        <f t="shared" si="4"/>
        <v>8000</v>
      </c>
      <c r="O86" s="4" t="s">
        <v>19</v>
      </c>
      <c r="P86" s="5">
        <f t="shared" si="5"/>
        <v>22.72727273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3" t="s">
        <v>103</v>
      </c>
      <c r="B87" s="13" t="s">
        <v>107</v>
      </c>
      <c r="C87" s="14"/>
      <c r="D87" s="15">
        <v>1.0</v>
      </c>
      <c r="E87" s="1" t="s">
        <v>108</v>
      </c>
      <c r="F87" s="1" t="str">
        <f t="shared" si="1"/>
        <v>05/02/26PK5037</v>
      </c>
      <c r="G87" s="1" t="str">
        <f t="shared" si="2"/>
        <v>O05/02/26</v>
      </c>
      <c r="H87" s="1" t="str">
        <f>IFNA(VLOOKUP(TRIM(E87),Master!D:M,4,0),"")</f>
        <v>PUPUK BIO FLOWER SUPER 100ML</v>
      </c>
      <c r="I87" s="4">
        <v>1.0</v>
      </c>
      <c r="J87" s="5">
        <f>IFNA(VLOOKUP(E87,Master!D:U,14,0),0)</f>
        <v>25000</v>
      </c>
      <c r="K87" s="5">
        <v>0.0</v>
      </c>
      <c r="L87" s="5">
        <f t="shared" si="3"/>
        <v>25000</v>
      </c>
      <c r="M87" s="5">
        <f>IFNA(VLOOKUP(TRIM(E87),Master!D:U,13,0),"")</f>
        <v>20000</v>
      </c>
      <c r="N87" s="5">
        <f t="shared" si="4"/>
        <v>5000</v>
      </c>
      <c r="O87" s="16" t="s">
        <v>28</v>
      </c>
      <c r="P87" s="5">
        <f t="shared" si="5"/>
        <v>20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3" t="s">
        <v>103</v>
      </c>
      <c r="B88" s="2"/>
      <c r="C88" s="14"/>
      <c r="D88" s="3"/>
      <c r="E88" s="1" t="s">
        <v>33</v>
      </c>
      <c r="F88" s="1" t="str">
        <f t="shared" si="1"/>
        <v>05/02/26PL3040</v>
      </c>
      <c r="G88" s="1" t="str">
        <f t="shared" si="2"/>
        <v>O05/02/26</v>
      </c>
      <c r="H88" s="1" t="str">
        <f>IFNA(VLOOKUP(TRIM(E88),Master!D:M,4,0),"")</f>
        <v>KAWAT BONSAI SILVER NO.1.5 ECERAN</v>
      </c>
      <c r="I88" s="16">
        <v>10.0</v>
      </c>
      <c r="J88" s="5">
        <f>IFNA(VLOOKUP(E88,Master!D:U,14,0),0)</f>
        <v>750</v>
      </c>
      <c r="K88" s="5">
        <v>0.0</v>
      </c>
      <c r="L88" s="5">
        <f t="shared" si="3"/>
        <v>7500</v>
      </c>
      <c r="M88" s="5">
        <f>IFNA(VLOOKUP(TRIM(E88),Master!D:U,13,0),"")</f>
        <v>444</v>
      </c>
      <c r="N88" s="5">
        <f t="shared" si="4"/>
        <v>3060</v>
      </c>
      <c r="O88" s="16" t="s">
        <v>28</v>
      </c>
      <c r="P88" s="5">
        <f t="shared" si="5"/>
        <v>40.8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3" t="s">
        <v>103</v>
      </c>
      <c r="B89" s="2"/>
      <c r="C89" s="14"/>
      <c r="D89" s="3"/>
      <c r="E89" s="1" t="s">
        <v>33</v>
      </c>
      <c r="F89" s="1" t="str">
        <f t="shared" si="1"/>
        <v>05/02/26PL3040</v>
      </c>
      <c r="G89" s="1" t="str">
        <f t="shared" si="2"/>
        <v>O05/02/26</v>
      </c>
      <c r="H89" s="1" t="str">
        <f>IFNA(VLOOKUP(TRIM(E89),Master!D:M,4,0),"")</f>
        <v>KAWAT BONSAI SILVER NO.1.5 ECERAN</v>
      </c>
      <c r="I89" s="16">
        <v>5.0</v>
      </c>
      <c r="J89" s="5">
        <f>IFNA(VLOOKUP(E89,Master!D:U,14,0),0)</f>
        <v>750</v>
      </c>
      <c r="K89" s="5">
        <v>0.0</v>
      </c>
      <c r="L89" s="5">
        <f t="shared" si="3"/>
        <v>3750</v>
      </c>
      <c r="M89" s="5">
        <f>IFNA(VLOOKUP(TRIM(E89),Master!D:U,13,0),"")</f>
        <v>444</v>
      </c>
      <c r="N89" s="5">
        <f t="shared" si="4"/>
        <v>1530</v>
      </c>
      <c r="O89" s="16" t="s">
        <v>28</v>
      </c>
      <c r="P89" s="5">
        <f t="shared" si="5"/>
        <v>40.8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3" t="s">
        <v>103</v>
      </c>
      <c r="B90" s="2"/>
      <c r="C90" s="14"/>
      <c r="D90" s="3"/>
      <c r="E90" s="17" t="s">
        <v>42</v>
      </c>
      <c r="F90" s="1" t="str">
        <f t="shared" si="1"/>
        <v>05/02/26PL3042</v>
      </c>
      <c r="G90" s="1" t="str">
        <f t="shared" si="2"/>
        <v>O05/02/26</v>
      </c>
      <c r="H90" s="1" t="str">
        <f>IFNA(VLOOKUP(TRIM(E90),Master!D:M,4,0),"")</f>
        <v>KAWAT BONSAI SILVER NO.2 ECERAN</v>
      </c>
      <c r="I90" s="16">
        <v>5.0</v>
      </c>
      <c r="J90" s="5">
        <f>IFNA(VLOOKUP(E90,Master!D:U,14,0),0)</f>
        <v>1500</v>
      </c>
      <c r="K90" s="5">
        <v>0.0</v>
      </c>
      <c r="L90" s="5">
        <f t="shared" si="3"/>
        <v>7500</v>
      </c>
      <c r="M90" s="5">
        <f>IFNA(VLOOKUP(TRIM(E90),Master!D:U,13,0),"")</f>
        <v>800</v>
      </c>
      <c r="N90" s="5">
        <f t="shared" si="4"/>
        <v>3500</v>
      </c>
      <c r="O90" s="16" t="s">
        <v>28</v>
      </c>
      <c r="P90" s="5">
        <f t="shared" si="5"/>
        <v>46.66666667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3" t="s">
        <v>103</v>
      </c>
      <c r="B91" s="2"/>
      <c r="C91" s="14"/>
      <c r="D91" s="3"/>
      <c r="E91" s="1" t="s">
        <v>109</v>
      </c>
      <c r="F91" s="1" t="str">
        <f t="shared" si="1"/>
        <v>05/02/26PK5013</v>
      </c>
      <c r="G91" s="1" t="str">
        <f t="shared" si="2"/>
        <v>O05/02/26</v>
      </c>
      <c r="H91" s="1" t="str">
        <f>IFNA(VLOOKUP(TRIM(E91),Master!D:M,4,0),"")</f>
        <v>DEKASTAR 171110 KTK 100GR</v>
      </c>
      <c r="I91" s="4">
        <v>1.0</v>
      </c>
      <c r="J91" s="5">
        <f>IFNA(VLOOKUP(E91,Master!D:U,14,0),0)</f>
        <v>30000</v>
      </c>
      <c r="K91" s="5">
        <v>0.0</v>
      </c>
      <c r="L91" s="5">
        <f t="shared" si="3"/>
        <v>30000</v>
      </c>
      <c r="M91" s="5">
        <f>IFNA(VLOOKUP(TRIM(E91),Master!D:U,13,0),"")</f>
        <v>24000</v>
      </c>
      <c r="N91" s="5">
        <f t="shared" si="4"/>
        <v>6000</v>
      </c>
      <c r="O91" s="16" t="s">
        <v>28</v>
      </c>
      <c r="P91" s="5">
        <f t="shared" si="5"/>
        <v>20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3" t="s">
        <v>103</v>
      </c>
      <c r="B92" s="13" t="s">
        <v>110</v>
      </c>
      <c r="C92" s="14"/>
      <c r="D92" s="15">
        <v>1.0</v>
      </c>
      <c r="E92" s="1" t="s">
        <v>37</v>
      </c>
      <c r="F92" s="1" t="str">
        <f t="shared" si="1"/>
        <v>05/02/26MT2050</v>
      </c>
      <c r="G92" s="1" t="str">
        <f t="shared" si="2"/>
        <v>T05/02/26</v>
      </c>
      <c r="H92" s="1" t="str">
        <f>IFNA(VLOOKUP(TRIM(E92),Master!D:M,4,0),"")</f>
        <v>TANAH SUBUR 10KG BINTANG TANI</v>
      </c>
      <c r="I92" s="16">
        <v>2.0</v>
      </c>
      <c r="J92" s="5">
        <f>IFNA(VLOOKUP(E92,Master!D:U,14,0),0)</f>
        <v>10000</v>
      </c>
      <c r="K92" s="5">
        <v>0.0</v>
      </c>
      <c r="L92" s="5">
        <f t="shared" si="3"/>
        <v>20000</v>
      </c>
      <c r="M92" s="5">
        <f>IFNA(VLOOKUP(TRIM(E92),Master!D:U,13,0),"")</f>
        <v>6000</v>
      </c>
      <c r="N92" s="5">
        <f t="shared" si="4"/>
        <v>8000</v>
      </c>
      <c r="O92" s="16" t="s">
        <v>77</v>
      </c>
      <c r="P92" s="5">
        <f t="shared" si="5"/>
        <v>40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3" t="s">
        <v>103</v>
      </c>
      <c r="B93" s="2"/>
      <c r="C93" s="14"/>
      <c r="D93" s="3"/>
      <c r="E93" s="1" t="s">
        <v>56</v>
      </c>
      <c r="F93" s="1" t="str">
        <f t="shared" si="1"/>
        <v>05/02/26PK5064</v>
      </c>
      <c r="G93" s="1" t="str">
        <f t="shared" si="2"/>
        <v>T05/02/26</v>
      </c>
      <c r="H93" s="1" t="str">
        <f>IFNA(VLOOKUP(TRIM(E93),Master!D:M,4,0),"")</f>
        <v>PUPUK UREA 1KG</v>
      </c>
      <c r="I93" s="16">
        <v>2.0</v>
      </c>
      <c r="J93" s="5">
        <f>IFNA(VLOOKUP(E93,Master!D:U,14,0),0)</f>
        <v>14000</v>
      </c>
      <c r="K93" s="5">
        <v>0.0</v>
      </c>
      <c r="L93" s="5">
        <f t="shared" si="3"/>
        <v>28000</v>
      </c>
      <c r="M93" s="5">
        <f>IFNA(VLOOKUP(TRIM(E93),Master!D:U,13,0),"")</f>
        <v>10000</v>
      </c>
      <c r="N93" s="5">
        <f t="shared" si="4"/>
        <v>8000</v>
      </c>
      <c r="O93" s="16" t="s">
        <v>77</v>
      </c>
      <c r="P93" s="5">
        <f t="shared" si="5"/>
        <v>28.57142857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3" t="s">
        <v>103</v>
      </c>
      <c r="B94" s="13" t="s">
        <v>111</v>
      </c>
      <c r="C94" s="14"/>
      <c r="D94" s="15">
        <v>1.0</v>
      </c>
      <c r="E94" s="17" t="s">
        <v>112</v>
      </c>
      <c r="F94" s="1" t="str">
        <f t="shared" si="1"/>
        <v>05/02/26PK5012</v>
      </c>
      <c r="G94" s="1" t="str">
        <f t="shared" si="2"/>
        <v>O05/02/26</v>
      </c>
      <c r="H94" s="1" t="str">
        <f>IFNA(VLOOKUP(TRIM(E94),Master!D:M,4,0),"")</f>
        <v>DEKASTAR 171110 BTL 100GR</v>
      </c>
      <c r="I94" s="16">
        <v>2.0</v>
      </c>
      <c r="J94" s="5">
        <f>IFNA(VLOOKUP(E94,Master!D:U,14,0),0)</f>
        <v>25000</v>
      </c>
      <c r="K94" s="5">
        <v>0.0</v>
      </c>
      <c r="L94" s="5">
        <f t="shared" si="3"/>
        <v>50000</v>
      </c>
      <c r="M94" s="5">
        <f>IFNA(VLOOKUP(TRIM(E94),Master!D:U,13,0),"")</f>
        <v>14800</v>
      </c>
      <c r="N94" s="5">
        <f t="shared" si="4"/>
        <v>20400</v>
      </c>
      <c r="O94" s="16" t="s">
        <v>28</v>
      </c>
      <c r="P94" s="5">
        <f t="shared" si="5"/>
        <v>40.8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3" t="s">
        <v>103</v>
      </c>
      <c r="B95" s="13" t="s">
        <v>113</v>
      </c>
      <c r="C95" s="14"/>
      <c r="D95" s="15">
        <v>1.0</v>
      </c>
      <c r="E95" s="1" t="s">
        <v>22</v>
      </c>
      <c r="F95" s="1" t="str">
        <f t="shared" si="1"/>
        <v>05/02/26MT2037</v>
      </c>
      <c r="G95" s="1" t="str">
        <f t="shared" si="2"/>
        <v>C05/02/26</v>
      </c>
      <c r="H95" s="1" t="str">
        <f>IFNA(VLOOKUP(TRIM(E95),Master!D:M,4,0),"")</f>
        <v>PUPUK KOMPOS 5KG</v>
      </c>
      <c r="I95" s="4">
        <v>1.0</v>
      </c>
      <c r="J95" s="5">
        <f>IFNA(VLOOKUP(E95,Master!D:U,14,0),0)</f>
        <v>10000</v>
      </c>
      <c r="K95" s="5">
        <v>0.0</v>
      </c>
      <c r="L95" s="5">
        <f t="shared" si="3"/>
        <v>10000</v>
      </c>
      <c r="M95" s="5">
        <f>IFNA(VLOOKUP(TRIM(E95),Master!D:U,13,0),"")</f>
        <v>5000</v>
      </c>
      <c r="N95" s="5">
        <f t="shared" si="4"/>
        <v>5000</v>
      </c>
      <c r="O95" s="4" t="s">
        <v>19</v>
      </c>
      <c r="P95" s="5">
        <f t="shared" si="5"/>
        <v>50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3" t="s">
        <v>103</v>
      </c>
      <c r="B96" s="13" t="s">
        <v>113</v>
      </c>
      <c r="C96" s="14"/>
      <c r="D96" s="15">
        <v>1.0</v>
      </c>
      <c r="E96" s="1" t="s">
        <v>37</v>
      </c>
      <c r="F96" s="1" t="str">
        <f t="shared" si="1"/>
        <v>05/02/26MT2050</v>
      </c>
      <c r="G96" s="1" t="str">
        <f t="shared" si="2"/>
        <v>C05/02/26</v>
      </c>
      <c r="H96" s="1" t="str">
        <f>IFNA(VLOOKUP(TRIM(E96),Master!D:M,4,0),"")</f>
        <v>TANAH SUBUR 10KG BINTANG TANI</v>
      </c>
      <c r="I96" s="16">
        <v>5.0</v>
      </c>
      <c r="J96" s="5">
        <f>IFNA(VLOOKUP(E96,Master!D:U,14,0),0)</f>
        <v>10000</v>
      </c>
      <c r="K96" s="5">
        <v>0.0</v>
      </c>
      <c r="L96" s="5">
        <f t="shared" si="3"/>
        <v>50000</v>
      </c>
      <c r="M96" s="5">
        <f>IFNA(VLOOKUP(TRIM(E96),Master!D:U,13,0),"")</f>
        <v>6000</v>
      </c>
      <c r="N96" s="5">
        <f t="shared" si="4"/>
        <v>20000</v>
      </c>
      <c r="O96" s="4" t="s">
        <v>19</v>
      </c>
      <c r="P96" s="5">
        <f t="shared" si="5"/>
        <v>40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3" t="s">
        <v>103</v>
      </c>
      <c r="B97" s="2"/>
      <c r="C97" s="14"/>
      <c r="D97" s="3"/>
      <c r="E97" s="17" t="s">
        <v>97</v>
      </c>
      <c r="F97" s="1" t="str">
        <f t="shared" si="1"/>
        <v>05/02/26PL3164</v>
      </c>
      <c r="G97" s="1" t="str">
        <f t="shared" si="2"/>
        <v>C05/02/26</v>
      </c>
      <c r="H97" s="1" t="str">
        <f>IFNA(VLOOKUP(TRIM(E97),Master!D:M,4,0),"")</f>
        <v>POT GMP HITAM 35 POLOS</v>
      </c>
      <c r="I97" s="16">
        <v>3.0</v>
      </c>
      <c r="J97" s="5">
        <f>IFNA(VLOOKUP(E97,Master!D:U,14,0),0)</f>
        <v>14000</v>
      </c>
      <c r="K97" s="5">
        <v>0.0</v>
      </c>
      <c r="L97" s="5">
        <f t="shared" si="3"/>
        <v>42000</v>
      </c>
      <c r="M97" s="5">
        <f>IFNA(VLOOKUP(TRIM(E97),Master!D:U,13,0),"")</f>
        <v>10250</v>
      </c>
      <c r="N97" s="5">
        <f t="shared" si="4"/>
        <v>11250</v>
      </c>
      <c r="O97" s="4" t="s">
        <v>19</v>
      </c>
      <c r="P97" s="5">
        <f t="shared" si="5"/>
        <v>26.78571429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3" t="s">
        <v>103</v>
      </c>
      <c r="B98" s="13" t="s">
        <v>114</v>
      </c>
      <c r="C98" s="14"/>
      <c r="D98" s="15">
        <v>1.0</v>
      </c>
      <c r="E98" s="1" t="s">
        <v>115</v>
      </c>
      <c r="F98" s="1" t="str">
        <f t="shared" si="1"/>
        <v>05/02/26MT2022</v>
      </c>
      <c r="G98" s="1" t="str">
        <f t="shared" si="2"/>
        <v>C05/02/26</v>
      </c>
      <c r="H98" s="1" t="str">
        <f>IFNA(VLOOKUP(TRIM(E98),Master!D:M,4,0),"")</f>
        <v>PASIR MALANG 10KG</v>
      </c>
      <c r="I98" s="4">
        <v>1.0</v>
      </c>
      <c r="J98" s="5">
        <f>IFNA(VLOOKUP(E98,Master!D:U,14,0),0)</f>
        <v>15000</v>
      </c>
      <c r="K98" s="5">
        <v>0.0</v>
      </c>
      <c r="L98" s="5">
        <f t="shared" si="3"/>
        <v>15000</v>
      </c>
      <c r="M98" s="5">
        <f>IFNA(VLOOKUP(TRIM(E98),Master!D:U,13,0),"")</f>
        <v>8000</v>
      </c>
      <c r="N98" s="5">
        <f t="shared" si="4"/>
        <v>7000</v>
      </c>
      <c r="O98" s="4" t="s">
        <v>19</v>
      </c>
      <c r="P98" s="5">
        <f t="shared" si="5"/>
        <v>46.66666667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3" t="s">
        <v>103</v>
      </c>
      <c r="B99" s="13" t="s">
        <v>116</v>
      </c>
      <c r="C99" s="19"/>
      <c r="D99" s="15">
        <v>1.0</v>
      </c>
      <c r="E99" s="1" t="s">
        <v>37</v>
      </c>
      <c r="F99" s="1" t="str">
        <f t="shared" si="1"/>
        <v>05/02/26MT2050</v>
      </c>
      <c r="G99" s="1" t="str">
        <f t="shared" si="2"/>
        <v>C05/02/26</v>
      </c>
      <c r="H99" s="1" t="str">
        <f>IFNA(VLOOKUP(TRIM(E99),Master!D:M,4,0),"")</f>
        <v>TANAH SUBUR 10KG BINTANG TANI</v>
      </c>
      <c r="I99" s="16">
        <v>3.0</v>
      </c>
      <c r="J99" s="5">
        <f>IFNA(VLOOKUP(E99,Master!D:U,14,0),0)</f>
        <v>10000</v>
      </c>
      <c r="K99" s="5">
        <v>0.0</v>
      </c>
      <c r="L99" s="5">
        <f t="shared" si="3"/>
        <v>30000</v>
      </c>
      <c r="M99" s="5">
        <f>IFNA(VLOOKUP(TRIM(E99),Master!D:U,13,0),"")</f>
        <v>6000</v>
      </c>
      <c r="N99" s="5">
        <f t="shared" si="4"/>
        <v>12000</v>
      </c>
      <c r="O99" s="4" t="s">
        <v>19</v>
      </c>
      <c r="P99" s="5">
        <f t="shared" si="5"/>
        <v>40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3" t="s">
        <v>103</v>
      </c>
      <c r="B100" s="13" t="s">
        <v>117</v>
      </c>
      <c r="C100" s="14"/>
      <c r="D100" s="15">
        <v>1.0</v>
      </c>
      <c r="E100" s="1" t="s">
        <v>37</v>
      </c>
      <c r="F100" s="1" t="str">
        <f t="shared" si="1"/>
        <v>05/02/26MT2050</v>
      </c>
      <c r="G100" s="1" t="str">
        <f t="shared" si="2"/>
        <v>C05/02/26</v>
      </c>
      <c r="H100" s="1" t="str">
        <f>IFNA(VLOOKUP(TRIM(E100),Master!D:M,4,0),"")</f>
        <v>TANAH SUBUR 10KG BINTANG TANI</v>
      </c>
      <c r="I100" s="4">
        <v>1.0</v>
      </c>
      <c r="J100" s="5">
        <f>IFNA(VLOOKUP(E100,Master!D:U,14,0),0)</f>
        <v>10000</v>
      </c>
      <c r="K100" s="5">
        <v>0.0</v>
      </c>
      <c r="L100" s="5">
        <f t="shared" si="3"/>
        <v>10000</v>
      </c>
      <c r="M100" s="5">
        <f>IFNA(VLOOKUP(TRIM(E100),Master!D:U,13,0),"")</f>
        <v>6000</v>
      </c>
      <c r="N100" s="5">
        <f t="shared" si="4"/>
        <v>4000</v>
      </c>
      <c r="O100" s="4" t="s">
        <v>19</v>
      </c>
      <c r="P100" s="5">
        <f t="shared" si="5"/>
        <v>40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3" t="s">
        <v>103</v>
      </c>
      <c r="B101" s="2"/>
      <c r="C101" s="14"/>
      <c r="D101" s="3"/>
      <c r="E101" s="1" t="s">
        <v>18</v>
      </c>
      <c r="F101" s="1" t="str">
        <f t="shared" si="1"/>
        <v>05/02/26PK5043</v>
      </c>
      <c r="G101" s="1" t="str">
        <f t="shared" si="2"/>
        <v>C05/02/26</v>
      </c>
      <c r="H101" s="1" t="str">
        <f>IFNA(VLOOKUP(TRIM(E101),Master!D:M,4,0),"")</f>
        <v>PUPUK KAMBING 5KG</v>
      </c>
      <c r="I101" s="4">
        <v>1.0</v>
      </c>
      <c r="J101" s="5">
        <f>IFNA(VLOOKUP(E101,Master!D:U,14,0),0)</f>
        <v>15000</v>
      </c>
      <c r="K101" s="5">
        <v>0.0</v>
      </c>
      <c r="L101" s="5">
        <f t="shared" si="3"/>
        <v>15000</v>
      </c>
      <c r="M101" s="5">
        <f>IFNA(VLOOKUP(TRIM(E101),Master!D:U,13,0),"")</f>
        <v>8000</v>
      </c>
      <c r="N101" s="5">
        <f t="shared" si="4"/>
        <v>7000</v>
      </c>
      <c r="O101" s="4" t="s">
        <v>19</v>
      </c>
      <c r="P101" s="5">
        <f t="shared" si="5"/>
        <v>46.66666667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3" t="s">
        <v>103</v>
      </c>
      <c r="B102" s="2"/>
      <c r="C102" s="14"/>
      <c r="D102" s="3"/>
      <c r="E102" s="1" t="s">
        <v>91</v>
      </c>
      <c r="F102" s="1" t="str">
        <f t="shared" si="1"/>
        <v>05/02/26PK5048</v>
      </c>
      <c r="G102" s="1" t="str">
        <f t="shared" si="2"/>
        <v>C05/02/26</v>
      </c>
      <c r="H102" s="1" t="str">
        <f>IFNA(VLOOKUP(TRIM(E102),Master!D:M,4,0),"")</f>
        <v>PUPUK MUTIARA 161616 100GR RPK</v>
      </c>
      <c r="I102" s="4">
        <v>1.0</v>
      </c>
      <c r="J102" s="5">
        <f>IFNA(VLOOKUP(E102,Master!D:U,14,0),0)</f>
        <v>3000</v>
      </c>
      <c r="K102" s="18">
        <v>-2000.0</v>
      </c>
      <c r="L102" s="5">
        <f t="shared" si="3"/>
        <v>5000</v>
      </c>
      <c r="M102" s="5">
        <f>IFNA(VLOOKUP(TRIM(E102),Master!D:U,13,0),"")</f>
        <v>1900</v>
      </c>
      <c r="N102" s="5">
        <f t="shared" si="4"/>
        <v>3100</v>
      </c>
      <c r="O102" s="4" t="s">
        <v>19</v>
      </c>
      <c r="P102" s="5">
        <f t="shared" si="5"/>
        <v>36.66666667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3" t="s">
        <v>118</v>
      </c>
      <c r="B103" s="13" t="s">
        <v>119</v>
      </c>
      <c r="C103" s="14"/>
      <c r="D103" s="15">
        <v>1.0</v>
      </c>
      <c r="E103" s="1" t="s">
        <v>22</v>
      </c>
      <c r="F103" s="1" t="str">
        <f t="shared" si="1"/>
        <v>06/02/26MT2037</v>
      </c>
      <c r="G103" s="1" t="str">
        <f t="shared" si="2"/>
        <v>I06/02/26</v>
      </c>
      <c r="H103" s="1" t="str">
        <f>IFNA(VLOOKUP(TRIM(E103),Master!D:M,4,0),"")</f>
        <v>PUPUK KOMPOS 5KG</v>
      </c>
      <c r="I103" s="4">
        <v>1.0</v>
      </c>
      <c r="J103" s="5">
        <f>IFNA(VLOOKUP(E103,Master!D:U,14,0),0)</f>
        <v>10000</v>
      </c>
      <c r="K103" s="5">
        <v>0.0</v>
      </c>
      <c r="L103" s="5">
        <f t="shared" si="3"/>
        <v>10000</v>
      </c>
      <c r="M103" s="5">
        <f>IFNA(VLOOKUP(TRIM(E103),Master!D:U,13,0),"")</f>
        <v>5000</v>
      </c>
      <c r="N103" s="5">
        <f t="shared" si="4"/>
        <v>5000</v>
      </c>
      <c r="O103" s="16" t="s">
        <v>23</v>
      </c>
      <c r="P103" s="5">
        <f t="shared" si="5"/>
        <v>50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3" t="s">
        <v>118</v>
      </c>
      <c r="B104" s="13" t="s">
        <v>120</v>
      </c>
      <c r="C104" s="14"/>
      <c r="D104" s="15">
        <v>1.0</v>
      </c>
      <c r="E104" s="1" t="s">
        <v>121</v>
      </c>
      <c r="F104" s="1" t="str">
        <f t="shared" si="1"/>
        <v>06/02/26PS4008</v>
      </c>
      <c r="G104" s="1" t="str">
        <f t="shared" si="2"/>
        <v>O06/02/26</v>
      </c>
      <c r="H104" s="1" t="str">
        <f>IFNA(VLOOKUP(TRIM(E104),Master!D:M,4,0),"")</f>
        <v>ROUNDUP 1LITER</v>
      </c>
      <c r="I104" s="4">
        <v>1.0</v>
      </c>
      <c r="J104" s="5">
        <f>IFNA(VLOOKUP(E104,Master!D:U,14,0),0)</f>
        <v>110000</v>
      </c>
      <c r="K104" s="5">
        <v>0.0</v>
      </c>
      <c r="L104" s="5">
        <f t="shared" si="3"/>
        <v>110000</v>
      </c>
      <c r="M104" s="5">
        <f>IFNA(VLOOKUP(TRIM(E104),Master!D:U,13,0),"")</f>
        <v>75000</v>
      </c>
      <c r="N104" s="5">
        <f t="shared" si="4"/>
        <v>35000</v>
      </c>
      <c r="O104" s="16" t="s">
        <v>28</v>
      </c>
      <c r="P104" s="5">
        <f t="shared" si="5"/>
        <v>31.81818182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3" t="s">
        <v>118</v>
      </c>
      <c r="B105" s="2"/>
      <c r="C105" s="14"/>
      <c r="D105" s="3"/>
      <c r="E105" s="1" t="s">
        <v>91</v>
      </c>
      <c r="F105" s="1" t="str">
        <f t="shared" si="1"/>
        <v>06/02/26PK5048</v>
      </c>
      <c r="G105" s="1" t="str">
        <f t="shared" si="2"/>
        <v>O06/02/26</v>
      </c>
      <c r="H105" s="1" t="str">
        <f>IFNA(VLOOKUP(TRIM(E105),Master!D:M,4,0),"")</f>
        <v>PUPUK MUTIARA 161616 100GR RPK</v>
      </c>
      <c r="I105" s="4">
        <v>1.0</v>
      </c>
      <c r="J105" s="5">
        <f>IFNA(VLOOKUP(E105,Master!D:U,14,0),0)</f>
        <v>3000</v>
      </c>
      <c r="K105" s="18">
        <v>-2000.0</v>
      </c>
      <c r="L105" s="5">
        <f t="shared" si="3"/>
        <v>5000</v>
      </c>
      <c r="M105" s="5">
        <f>IFNA(VLOOKUP(TRIM(E105),Master!D:U,13,0),"")</f>
        <v>1900</v>
      </c>
      <c r="N105" s="5">
        <f t="shared" si="4"/>
        <v>3100</v>
      </c>
      <c r="O105" s="16" t="s">
        <v>28</v>
      </c>
      <c r="P105" s="5">
        <f t="shared" si="5"/>
        <v>36.66666667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3" t="s">
        <v>118</v>
      </c>
      <c r="B106" s="2"/>
      <c r="C106" s="14"/>
      <c r="D106" s="3"/>
      <c r="E106" s="1" t="s">
        <v>29</v>
      </c>
      <c r="F106" s="1" t="str">
        <f t="shared" si="1"/>
        <v>06/02/26PL3028</v>
      </c>
      <c r="G106" s="1" t="str">
        <f t="shared" si="2"/>
        <v>O06/02/26</v>
      </c>
      <c r="H106" s="1" t="str">
        <f>IFNA(VLOOKUP(TRIM(E106),Master!D:M,4,0),"")</f>
        <v>KAWAT BONSAI HITAM NO.2 ECERAN</v>
      </c>
      <c r="I106" s="16">
        <v>3.0</v>
      </c>
      <c r="J106" s="5">
        <f>IFNA(VLOOKUP(E106,Master!D:U,14,0),0)</f>
        <v>2000</v>
      </c>
      <c r="K106" s="5">
        <v>0.0</v>
      </c>
      <c r="L106" s="5">
        <f t="shared" si="3"/>
        <v>6000</v>
      </c>
      <c r="M106" s="5">
        <f>IFNA(VLOOKUP(TRIM(E106),Master!D:U,13,0),"")</f>
        <v>1220</v>
      </c>
      <c r="N106" s="5">
        <f t="shared" si="4"/>
        <v>2340</v>
      </c>
      <c r="O106" s="16" t="s">
        <v>28</v>
      </c>
      <c r="P106" s="5">
        <f t="shared" si="5"/>
        <v>39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3" t="s">
        <v>118</v>
      </c>
      <c r="B107" s="2"/>
      <c r="C107" s="14"/>
      <c r="D107" s="3"/>
      <c r="E107" s="1" t="s">
        <v>122</v>
      </c>
      <c r="F107" s="1" t="str">
        <f t="shared" si="1"/>
        <v>06/02/26PL3032</v>
      </c>
      <c r="G107" s="1" t="str">
        <f t="shared" si="2"/>
        <v>O06/02/26</v>
      </c>
      <c r="H107" s="1" t="str">
        <f>IFNA(VLOOKUP(TRIM(E107),Master!D:M,4,0),"")</f>
        <v>KAWAT BONSAI HITAM NO.4 ECERAN</v>
      </c>
      <c r="I107" s="16">
        <v>3.0</v>
      </c>
      <c r="J107" s="5">
        <f>IFNA(VLOOKUP(E107,Master!D:U,14,0),0)</f>
        <v>7500</v>
      </c>
      <c r="K107" s="5">
        <v>0.0</v>
      </c>
      <c r="L107" s="5">
        <f t="shared" si="3"/>
        <v>22500</v>
      </c>
      <c r="M107" s="5">
        <f>IFNA(VLOOKUP(TRIM(E107),Master!D:U,13,0),"")</f>
        <v>6100</v>
      </c>
      <c r="N107" s="5">
        <f t="shared" si="4"/>
        <v>4200</v>
      </c>
      <c r="O107" s="16" t="s">
        <v>28</v>
      </c>
      <c r="P107" s="5">
        <f t="shared" si="5"/>
        <v>18.66666667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3" t="s">
        <v>118</v>
      </c>
      <c r="B108" s="13" t="s">
        <v>123</v>
      </c>
      <c r="C108" s="14"/>
      <c r="D108" s="15">
        <v>1.0</v>
      </c>
      <c r="E108" s="1" t="s">
        <v>115</v>
      </c>
      <c r="F108" s="1" t="str">
        <f t="shared" si="1"/>
        <v>06/02/26MT2022</v>
      </c>
      <c r="G108" s="1" t="str">
        <f t="shared" si="2"/>
        <v>C06/02/26</v>
      </c>
      <c r="H108" s="1" t="str">
        <f>IFNA(VLOOKUP(TRIM(E108),Master!D:M,4,0),"")</f>
        <v>PASIR MALANG 10KG</v>
      </c>
      <c r="I108" s="4">
        <v>1.0</v>
      </c>
      <c r="J108" s="5">
        <f>IFNA(VLOOKUP(E108,Master!D:U,14,0),0)</f>
        <v>15000</v>
      </c>
      <c r="K108" s="5">
        <v>0.0</v>
      </c>
      <c r="L108" s="5">
        <f t="shared" si="3"/>
        <v>15000</v>
      </c>
      <c r="M108" s="5">
        <f>IFNA(VLOOKUP(TRIM(E108),Master!D:U,13,0),"")</f>
        <v>8000</v>
      </c>
      <c r="N108" s="5">
        <f t="shared" si="4"/>
        <v>7000</v>
      </c>
      <c r="O108" s="4" t="s">
        <v>19</v>
      </c>
      <c r="P108" s="5">
        <f t="shared" si="5"/>
        <v>46.66666667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3" t="s">
        <v>118</v>
      </c>
      <c r="B109" s="2"/>
      <c r="C109" s="14"/>
      <c r="D109" s="3"/>
      <c r="E109" s="1" t="s">
        <v>18</v>
      </c>
      <c r="F109" s="1" t="str">
        <f t="shared" si="1"/>
        <v>06/02/26PK5043</v>
      </c>
      <c r="G109" s="1" t="str">
        <f t="shared" si="2"/>
        <v>C06/02/26</v>
      </c>
      <c r="H109" s="1" t="str">
        <f>IFNA(VLOOKUP(TRIM(E109),Master!D:M,4,0),"")</f>
        <v>PUPUK KAMBING 5KG</v>
      </c>
      <c r="I109" s="4">
        <v>1.0</v>
      </c>
      <c r="J109" s="5">
        <f>IFNA(VLOOKUP(E109,Master!D:U,14,0),0)</f>
        <v>15000</v>
      </c>
      <c r="K109" s="5">
        <v>0.0</v>
      </c>
      <c r="L109" s="5">
        <f t="shared" si="3"/>
        <v>15000</v>
      </c>
      <c r="M109" s="5">
        <f>IFNA(VLOOKUP(TRIM(E109),Master!D:U,13,0),"")</f>
        <v>8000</v>
      </c>
      <c r="N109" s="5">
        <f t="shared" si="4"/>
        <v>7000</v>
      </c>
      <c r="O109" s="4" t="s">
        <v>19</v>
      </c>
      <c r="P109" s="5">
        <f t="shared" si="5"/>
        <v>46.66666667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3" t="s">
        <v>118</v>
      </c>
      <c r="B110" s="13" t="s">
        <v>123</v>
      </c>
      <c r="C110" s="14"/>
      <c r="D110" s="15">
        <v>1.0</v>
      </c>
      <c r="E110" s="1" t="s">
        <v>34</v>
      </c>
      <c r="F110" s="1" t="str">
        <f t="shared" si="1"/>
        <v>06/02/26MT2053</v>
      </c>
      <c r="G110" s="1" t="str">
        <f t="shared" si="2"/>
        <v>C06/02/26</v>
      </c>
      <c r="H110" s="1" t="str">
        <f>IFNA(VLOOKUP(TRIM(E110),Master!D:M,4,0),"")</f>
        <v>TANAH SUBUR 25KG BINTANG TANI</v>
      </c>
      <c r="I110" s="16">
        <v>2.0</v>
      </c>
      <c r="J110" s="5">
        <f>IFNA(VLOOKUP(E110,Master!D:U,14,0),0)</f>
        <v>25000</v>
      </c>
      <c r="K110" s="5">
        <v>0.0</v>
      </c>
      <c r="L110" s="5">
        <f t="shared" si="3"/>
        <v>50000</v>
      </c>
      <c r="M110" s="5">
        <f>IFNA(VLOOKUP(TRIM(E110),Master!D:U,13,0),"")</f>
        <v>15000</v>
      </c>
      <c r="N110" s="5">
        <f t="shared" si="4"/>
        <v>20000</v>
      </c>
      <c r="O110" s="4" t="s">
        <v>19</v>
      </c>
      <c r="P110" s="5">
        <f t="shared" si="5"/>
        <v>40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3" t="s">
        <v>118</v>
      </c>
      <c r="B111" s="13" t="s">
        <v>124</v>
      </c>
      <c r="C111" s="14"/>
      <c r="D111" s="15">
        <v>1.0</v>
      </c>
      <c r="E111" s="1" t="s">
        <v>115</v>
      </c>
      <c r="F111" s="1" t="str">
        <f t="shared" si="1"/>
        <v>06/02/26MT2022</v>
      </c>
      <c r="G111" s="1" t="str">
        <f t="shared" si="2"/>
        <v>C06/02/26</v>
      </c>
      <c r="H111" s="1" t="str">
        <f>IFNA(VLOOKUP(TRIM(E111),Master!D:M,4,0),"")</f>
        <v>PASIR MALANG 10KG</v>
      </c>
      <c r="I111" s="4">
        <v>1.0</v>
      </c>
      <c r="J111" s="5">
        <f>IFNA(VLOOKUP(E111,Master!D:U,14,0),0)</f>
        <v>15000</v>
      </c>
      <c r="K111" s="5">
        <v>0.0</v>
      </c>
      <c r="L111" s="5">
        <f t="shared" si="3"/>
        <v>15000</v>
      </c>
      <c r="M111" s="5">
        <f>IFNA(VLOOKUP(TRIM(E111),Master!D:U,13,0),"")</f>
        <v>8000</v>
      </c>
      <c r="N111" s="5">
        <f t="shared" si="4"/>
        <v>7000</v>
      </c>
      <c r="O111" s="4" t="s">
        <v>19</v>
      </c>
      <c r="P111" s="5">
        <f t="shared" si="5"/>
        <v>46.66666667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3" t="s">
        <v>118</v>
      </c>
      <c r="B112" s="2"/>
      <c r="C112" s="14"/>
      <c r="D112" s="3"/>
      <c r="E112" s="1" t="s">
        <v>73</v>
      </c>
      <c r="F112" s="1" t="str">
        <f t="shared" si="1"/>
        <v>06/02/26PK5072</v>
      </c>
      <c r="G112" s="1" t="str">
        <f t="shared" si="2"/>
        <v>C06/02/26</v>
      </c>
      <c r="H112" s="1" t="str">
        <f>IFNA(VLOOKUP(TRIM(E112),Master!D:M,4,0),"")</f>
        <v>VITAMIN B1 500ML</v>
      </c>
      <c r="I112" s="4">
        <v>1.0</v>
      </c>
      <c r="J112" s="5">
        <f>IFNA(VLOOKUP(E112,Master!D:U,14,0),0)</f>
        <v>50000</v>
      </c>
      <c r="K112" s="5">
        <v>0.0</v>
      </c>
      <c r="L112" s="5">
        <f t="shared" si="3"/>
        <v>50000</v>
      </c>
      <c r="M112" s="5">
        <f>IFNA(VLOOKUP(TRIM(E112),Master!D:U,13,0),"")</f>
        <v>25000</v>
      </c>
      <c r="N112" s="5">
        <f t="shared" si="4"/>
        <v>25000</v>
      </c>
      <c r="O112" s="4" t="s">
        <v>19</v>
      </c>
      <c r="P112" s="5">
        <f t="shared" si="5"/>
        <v>50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3" t="s">
        <v>118</v>
      </c>
      <c r="B113" s="13" t="s">
        <v>124</v>
      </c>
      <c r="C113" s="14"/>
      <c r="D113" s="15">
        <v>1.0</v>
      </c>
      <c r="E113" s="1" t="s">
        <v>37</v>
      </c>
      <c r="F113" s="1" t="str">
        <f t="shared" si="1"/>
        <v>06/02/26MT2050</v>
      </c>
      <c r="G113" s="1" t="str">
        <f t="shared" si="2"/>
        <v>C06/02/26</v>
      </c>
      <c r="H113" s="1" t="str">
        <f>IFNA(VLOOKUP(TRIM(E113),Master!D:M,4,0),"")</f>
        <v>TANAH SUBUR 10KG BINTANG TANI</v>
      </c>
      <c r="I113" s="4">
        <v>1.0</v>
      </c>
      <c r="J113" s="5">
        <f>IFNA(VLOOKUP(E113,Master!D:U,14,0),0)</f>
        <v>10000</v>
      </c>
      <c r="K113" s="5">
        <v>0.0</v>
      </c>
      <c r="L113" s="5">
        <f t="shared" si="3"/>
        <v>10000</v>
      </c>
      <c r="M113" s="5">
        <f>IFNA(VLOOKUP(TRIM(E113),Master!D:U,13,0),"")</f>
        <v>6000</v>
      </c>
      <c r="N113" s="5">
        <f t="shared" si="4"/>
        <v>4000</v>
      </c>
      <c r="O113" s="4" t="s">
        <v>19</v>
      </c>
      <c r="P113" s="5">
        <f t="shared" si="5"/>
        <v>40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3" t="s">
        <v>118</v>
      </c>
      <c r="B114" s="13" t="s">
        <v>125</v>
      </c>
      <c r="C114" s="14"/>
      <c r="D114" s="15">
        <v>1.0</v>
      </c>
      <c r="E114" s="1" t="s">
        <v>27</v>
      </c>
      <c r="F114" s="1" t="str">
        <f t="shared" si="1"/>
        <v>06/02/26PK5069</v>
      </c>
      <c r="G114" s="1" t="str">
        <f t="shared" si="2"/>
        <v>T06/02/26</v>
      </c>
      <c r="H114" s="1" t="str">
        <f>IFNA(VLOOKUP(TRIM(E114),Master!D:M,4,0),"")</f>
        <v>ROOTUP 100GR</v>
      </c>
      <c r="I114" s="4">
        <v>1.0</v>
      </c>
      <c r="J114" s="5">
        <f>IFNA(VLOOKUP(E114,Master!D:U,14,0),0)</f>
        <v>35000</v>
      </c>
      <c r="K114" s="5">
        <v>0.0</v>
      </c>
      <c r="L114" s="5">
        <f t="shared" si="3"/>
        <v>35000</v>
      </c>
      <c r="M114" s="5">
        <f>IFNA(VLOOKUP(TRIM(E114),Master!D:U,13,0),"")</f>
        <v>16200</v>
      </c>
      <c r="N114" s="5">
        <f t="shared" si="4"/>
        <v>18800</v>
      </c>
      <c r="O114" s="16" t="s">
        <v>77</v>
      </c>
      <c r="P114" s="5">
        <f t="shared" si="5"/>
        <v>53.71428571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3" t="s">
        <v>118</v>
      </c>
      <c r="B115" s="13" t="s">
        <v>125</v>
      </c>
      <c r="C115" s="14"/>
      <c r="D115" s="15">
        <v>1.0</v>
      </c>
      <c r="E115" s="1" t="s">
        <v>37</v>
      </c>
      <c r="F115" s="1" t="str">
        <f t="shared" si="1"/>
        <v>06/02/26MT2050</v>
      </c>
      <c r="G115" s="1" t="str">
        <f t="shared" si="2"/>
        <v>C06/02/26</v>
      </c>
      <c r="H115" s="1" t="str">
        <f>IFNA(VLOOKUP(TRIM(E115),Master!D:M,4,0),"")</f>
        <v>TANAH SUBUR 10KG BINTANG TANI</v>
      </c>
      <c r="I115" s="4">
        <v>1.0</v>
      </c>
      <c r="J115" s="5">
        <f>IFNA(VLOOKUP(E115,Master!D:U,14,0),0)</f>
        <v>10000</v>
      </c>
      <c r="K115" s="5">
        <v>0.0</v>
      </c>
      <c r="L115" s="5">
        <f t="shared" si="3"/>
        <v>10000</v>
      </c>
      <c r="M115" s="5">
        <f>IFNA(VLOOKUP(TRIM(E115),Master!D:U,13,0),"")</f>
        <v>6000</v>
      </c>
      <c r="N115" s="5">
        <f t="shared" si="4"/>
        <v>4000</v>
      </c>
      <c r="O115" s="4" t="s">
        <v>19</v>
      </c>
      <c r="P115" s="5">
        <f t="shared" si="5"/>
        <v>40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3" t="s">
        <v>118</v>
      </c>
      <c r="B116" s="13" t="s">
        <v>126</v>
      </c>
      <c r="C116" s="14"/>
      <c r="D116" s="15">
        <v>1.0</v>
      </c>
      <c r="E116" s="1" t="s">
        <v>91</v>
      </c>
      <c r="F116" s="1" t="str">
        <f t="shared" si="1"/>
        <v>06/02/26PK5048</v>
      </c>
      <c r="G116" s="1" t="str">
        <f t="shared" si="2"/>
        <v>C06/02/26</v>
      </c>
      <c r="H116" s="1" t="str">
        <f>IFNA(VLOOKUP(TRIM(E116),Master!D:M,4,0),"")</f>
        <v>PUPUK MUTIARA 161616 100GR RPK</v>
      </c>
      <c r="I116" s="4">
        <v>1.0</v>
      </c>
      <c r="J116" s="5">
        <f>IFNA(VLOOKUP(E116,Master!D:U,14,0),0)</f>
        <v>3000</v>
      </c>
      <c r="K116" s="18">
        <v>-2000.0</v>
      </c>
      <c r="L116" s="5">
        <f t="shared" si="3"/>
        <v>5000</v>
      </c>
      <c r="M116" s="5">
        <f>IFNA(VLOOKUP(TRIM(E116),Master!D:U,13,0),"")</f>
        <v>1900</v>
      </c>
      <c r="N116" s="5">
        <f t="shared" si="4"/>
        <v>3100</v>
      </c>
      <c r="O116" s="4" t="s">
        <v>19</v>
      </c>
      <c r="P116" s="5">
        <f t="shared" si="5"/>
        <v>36.66666667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3" t="s">
        <v>118</v>
      </c>
      <c r="B117" s="13" t="s">
        <v>127</v>
      </c>
      <c r="C117" s="14"/>
      <c r="D117" s="15">
        <v>1.0</v>
      </c>
      <c r="E117" s="1" t="s">
        <v>37</v>
      </c>
      <c r="F117" s="1" t="str">
        <f t="shared" si="1"/>
        <v>06/02/26MT2050</v>
      </c>
      <c r="G117" s="1" t="str">
        <f t="shared" si="2"/>
        <v>C06/02/26</v>
      </c>
      <c r="H117" s="1" t="str">
        <f>IFNA(VLOOKUP(TRIM(E117),Master!D:M,4,0),"")</f>
        <v>TANAH SUBUR 10KG BINTANG TANI</v>
      </c>
      <c r="I117" s="16">
        <v>2.0</v>
      </c>
      <c r="J117" s="5">
        <f>IFNA(VLOOKUP(E117,Master!D:U,14,0),0)</f>
        <v>10000</v>
      </c>
      <c r="K117" s="5">
        <v>0.0</v>
      </c>
      <c r="L117" s="5">
        <f t="shared" si="3"/>
        <v>20000</v>
      </c>
      <c r="M117" s="5">
        <f>IFNA(VLOOKUP(TRIM(E117),Master!D:U,13,0),"")</f>
        <v>6000</v>
      </c>
      <c r="N117" s="5">
        <f t="shared" si="4"/>
        <v>8000</v>
      </c>
      <c r="O117" s="4" t="s">
        <v>19</v>
      </c>
      <c r="P117" s="5">
        <f t="shared" si="5"/>
        <v>40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3" t="s">
        <v>118</v>
      </c>
      <c r="B118" s="13" t="s">
        <v>128</v>
      </c>
      <c r="C118" s="14"/>
      <c r="D118" s="15">
        <v>1.0</v>
      </c>
      <c r="E118" s="1" t="s">
        <v>33</v>
      </c>
      <c r="F118" s="1" t="str">
        <f t="shared" si="1"/>
        <v>06/02/26PL3040</v>
      </c>
      <c r="G118" s="1" t="str">
        <f t="shared" si="2"/>
        <v>O06/02/26</v>
      </c>
      <c r="H118" s="1" t="str">
        <f>IFNA(VLOOKUP(TRIM(E118),Master!D:M,4,0),"")</f>
        <v>KAWAT BONSAI SILVER NO.1.5 ECERAN</v>
      </c>
      <c r="I118" s="16">
        <v>30.0</v>
      </c>
      <c r="J118" s="5">
        <f>IFNA(VLOOKUP(E118,Master!D:U,14,0),0)</f>
        <v>750</v>
      </c>
      <c r="K118" s="5">
        <v>0.0</v>
      </c>
      <c r="L118" s="5">
        <f t="shared" si="3"/>
        <v>22500</v>
      </c>
      <c r="M118" s="5">
        <f>IFNA(VLOOKUP(TRIM(E118),Master!D:U,13,0),"")</f>
        <v>444</v>
      </c>
      <c r="N118" s="5">
        <f t="shared" si="4"/>
        <v>9180</v>
      </c>
      <c r="O118" s="16" t="s">
        <v>28</v>
      </c>
      <c r="P118" s="5">
        <f t="shared" si="5"/>
        <v>40.8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3" t="s">
        <v>118</v>
      </c>
      <c r="B119" s="2"/>
      <c r="C119" s="14"/>
      <c r="D119" s="3"/>
      <c r="E119" s="1" t="s">
        <v>122</v>
      </c>
      <c r="F119" s="1" t="str">
        <f t="shared" si="1"/>
        <v>06/02/26PL3032</v>
      </c>
      <c r="G119" s="1" t="str">
        <f t="shared" si="2"/>
        <v>O06/02/26</v>
      </c>
      <c r="H119" s="1" t="str">
        <f>IFNA(VLOOKUP(TRIM(E119),Master!D:M,4,0),"")</f>
        <v>KAWAT BONSAI HITAM NO.4 ECERAN</v>
      </c>
      <c r="I119" s="16">
        <v>10.0</v>
      </c>
      <c r="J119" s="5">
        <f>IFNA(VLOOKUP(E119,Master!D:U,14,0),0)</f>
        <v>7500</v>
      </c>
      <c r="K119" s="5">
        <v>0.0</v>
      </c>
      <c r="L119" s="5">
        <f t="shared" si="3"/>
        <v>75000</v>
      </c>
      <c r="M119" s="5">
        <f>IFNA(VLOOKUP(TRIM(E119),Master!D:U,13,0),"")</f>
        <v>6100</v>
      </c>
      <c r="N119" s="5">
        <f t="shared" si="4"/>
        <v>14000</v>
      </c>
      <c r="O119" s="16" t="s">
        <v>28</v>
      </c>
      <c r="P119" s="5">
        <f t="shared" si="5"/>
        <v>18.66666667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3" t="s">
        <v>118</v>
      </c>
      <c r="B120" s="2"/>
      <c r="C120" s="14"/>
      <c r="D120" s="3"/>
      <c r="E120" s="1" t="s">
        <v>33</v>
      </c>
      <c r="F120" s="1" t="str">
        <f t="shared" si="1"/>
        <v>06/02/26PL3040</v>
      </c>
      <c r="G120" s="1" t="str">
        <f t="shared" si="2"/>
        <v>O06/02/26</v>
      </c>
      <c r="H120" s="1" t="str">
        <f>IFNA(VLOOKUP(TRIM(E120),Master!D:M,4,0),"")</f>
        <v>KAWAT BONSAI SILVER NO.1.5 ECERAN</v>
      </c>
      <c r="I120" s="16">
        <v>5.0</v>
      </c>
      <c r="J120" s="5">
        <f>IFNA(VLOOKUP(E120,Master!D:U,14,0),0)</f>
        <v>750</v>
      </c>
      <c r="K120" s="5">
        <v>0.0</v>
      </c>
      <c r="L120" s="5">
        <f t="shared" si="3"/>
        <v>3750</v>
      </c>
      <c r="M120" s="5">
        <f>IFNA(VLOOKUP(TRIM(E120),Master!D:U,13,0),"")</f>
        <v>444</v>
      </c>
      <c r="N120" s="5">
        <f t="shared" si="4"/>
        <v>1530</v>
      </c>
      <c r="O120" s="16" t="s">
        <v>28</v>
      </c>
      <c r="P120" s="5">
        <f t="shared" si="5"/>
        <v>40.8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3" t="s">
        <v>118</v>
      </c>
      <c r="B121" s="2"/>
      <c r="C121" s="14"/>
      <c r="D121" s="3"/>
      <c r="E121" s="1" t="s">
        <v>129</v>
      </c>
      <c r="F121" s="1" t="str">
        <f t="shared" si="1"/>
        <v>06/02/26PK5038</v>
      </c>
      <c r="G121" s="1" t="str">
        <f t="shared" si="2"/>
        <v>O06/02/26</v>
      </c>
      <c r="H121" s="1" t="str">
        <f>IFNA(VLOOKUP(TRIM(E121),Master!D:M,4,0),"")</f>
        <v>PUPUK BIO FLOWER SUPER 250ML</v>
      </c>
      <c r="I121" s="4">
        <v>1.0</v>
      </c>
      <c r="J121" s="5">
        <f>IFNA(VLOOKUP(E121,Master!D:U,14,0),0)</f>
        <v>35000</v>
      </c>
      <c r="K121" s="5">
        <v>0.0</v>
      </c>
      <c r="L121" s="5">
        <f t="shared" si="3"/>
        <v>35000</v>
      </c>
      <c r="M121" s="5">
        <f>IFNA(VLOOKUP(TRIM(E121),Master!D:U,13,0),"")</f>
        <v>25000</v>
      </c>
      <c r="N121" s="5">
        <f t="shared" si="4"/>
        <v>10000</v>
      </c>
      <c r="O121" s="16" t="s">
        <v>28</v>
      </c>
      <c r="P121" s="5">
        <f t="shared" si="5"/>
        <v>28.57142857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3" t="s">
        <v>118</v>
      </c>
      <c r="B122" s="13" t="s">
        <v>130</v>
      </c>
      <c r="C122" s="14"/>
      <c r="D122" s="15">
        <v>1.0</v>
      </c>
      <c r="E122" s="1" t="s">
        <v>37</v>
      </c>
      <c r="F122" s="1" t="str">
        <f t="shared" si="1"/>
        <v>06/02/26MT2050</v>
      </c>
      <c r="G122" s="1" t="str">
        <f t="shared" si="2"/>
        <v>C06/02/26</v>
      </c>
      <c r="H122" s="1" t="str">
        <f>IFNA(VLOOKUP(TRIM(E122),Master!D:M,4,0),"")</f>
        <v>TANAH SUBUR 10KG BINTANG TANI</v>
      </c>
      <c r="I122" s="16">
        <v>2.0</v>
      </c>
      <c r="J122" s="5">
        <f>IFNA(VLOOKUP(E122,Master!D:U,14,0),0)</f>
        <v>10000</v>
      </c>
      <c r="K122" s="5">
        <v>0.0</v>
      </c>
      <c r="L122" s="5">
        <f t="shared" si="3"/>
        <v>20000</v>
      </c>
      <c r="M122" s="5">
        <f>IFNA(VLOOKUP(TRIM(E122),Master!D:U,13,0),"")</f>
        <v>6000</v>
      </c>
      <c r="N122" s="5">
        <f t="shared" si="4"/>
        <v>8000</v>
      </c>
      <c r="O122" s="4" t="s">
        <v>19</v>
      </c>
      <c r="P122" s="5">
        <f t="shared" si="5"/>
        <v>40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3" t="s">
        <v>118</v>
      </c>
      <c r="B123" s="13" t="s">
        <v>131</v>
      </c>
      <c r="C123" s="14"/>
      <c r="D123" s="15">
        <v>1.0</v>
      </c>
      <c r="E123" s="1" t="s">
        <v>132</v>
      </c>
      <c r="F123" s="1" t="str">
        <f t="shared" si="1"/>
        <v>06/02/26PL3085</v>
      </c>
      <c r="G123" s="1" t="str">
        <f t="shared" si="2"/>
        <v>C06/02/26</v>
      </c>
      <c r="H123" s="1" t="str">
        <f>IFNA(VLOOKUP(TRIM(E123),Master!D:M,4,0),"")</f>
        <v>SALEP KAMBIUM 100ML</v>
      </c>
      <c r="I123" s="4">
        <v>1.0</v>
      </c>
      <c r="J123" s="5">
        <f>IFNA(VLOOKUP(E123,Master!D:U,14,0),0)</f>
        <v>35000</v>
      </c>
      <c r="K123" s="5">
        <v>0.0</v>
      </c>
      <c r="L123" s="5">
        <f t="shared" si="3"/>
        <v>35000</v>
      </c>
      <c r="M123" s="5">
        <f>IFNA(VLOOKUP(TRIM(E123),Master!D:U,13,0),"")</f>
        <v>16078</v>
      </c>
      <c r="N123" s="5">
        <f t="shared" si="4"/>
        <v>18922</v>
      </c>
      <c r="O123" s="4" t="s">
        <v>19</v>
      </c>
      <c r="P123" s="5">
        <f t="shared" si="5"/>
        <v>54.06285714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3" t="s">
        <v>133</v>
      </c>
      <c r="B124" s="13" t="s">
        <v>134</v>
      </c>
      <c r="C124" s="14"/>
      <c r="D124" s="15">
        <v>1.0</v>
      </c>
      <c r="E124" s="1" t="s">
        <v>37</v>
      </c>
      <c r="F124" s="1" t="str">
        <f t="shared" si="1"/>
        <v>07/02/26MT2050</v>
      </c>
      <c r="G124" s="1" t="str">
        <f t="shared" si="2"/>
        <v>C07/02/26</v>
      </c>
      <c r="H124" s="1" t="str">
        <f>IFNA(VLOOKUP(TRIM(E124),Master!D:M,4,0),"")</f>
        <v>TANAH SUBUR 10KG BINTANG TANI</v>
      </c>
      <c r="I124" s="16">
        <v>2.0</v>
      </c>
      <c r="J124" s="5">
        <f>IFNA(VLOOKUP(E124,Master!D:U,14,0),0)</f>
        <v>10000</v>
      </c>
      <c r="K124" s="5">
        <v>0.0</v>
      </c>
      <c r="L124" s="5">
        <f t="shared" si="3"/>
        <v>20000</v>
      </c>
      <c r="M124" s="5">
        <f>IFNA(VLOOKUP(TRIM(E124),Master!D:U,13,0),"")</f>
        <v>6000</v>
      </c>
      <c r="N124" s="5">
        <f t="shared" si="4"/>
        <v>8000</v>
      </c>
      <c r="O124" s="4" t="s">
        <v>19</v>
      </c>
      <c r="P124" s="5">
        <f t="shared" si="5"/>
        <v>40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3" t="s">
        <v>133</v>
      </c>
      <c r="B125" s="2"/>
      <c r="C125" s="14"/>
      <c r="D125" s="3"/>
      <c r="E125" s="1" t="s">
        <v>94</v>
      </c>
      <c r="F125" s="1" t="str">
        <f t="shared" si="1"/>
        <v>07/02/26MT2039</v>
      </c>
      <c r="G125" s="1" t="str">
        <f t="shared" si="2"/>
        <v>C07/02/26</v>
      </c>
      <c r="H125" s="1" t="str">
        <f>IFNA(VLOOKUP(TRIM(E125),Master!D:M,4,0),"")</f>
        <v>SEKAM BAKAR 10KG</v>
      </c>
      <c r="I125" s="16">
        <v>2.0</v>
      </c>
      <c r="J125" s="5">
        <f>IFNA(VLOOKUP(E125,Master!D:U,14,0),0)</f>
        <v>12000</v>
      </c>
      <c r="K125" s="5">
        <v>0.0</v>
      </c>
      <c r="L125" s="5">
        <f t="shared" si="3"/>
        <v>24000</v>
      </c>
      <c r="M125" s="5">
        <f>IFNA(VLOOKUP(TRIM(E125),Master!D:U,13,0),"")</f>
        <v>6000</v>
      </c>
      <c r="N125" s="5">
        <f t="shared" si="4"/>
        <v>12000</v>
      </c>
      <c r="O125" s="4" t="s">
        <v>19</v>
      </c>
      <c r="P125" s="5">
        <f t="shared" si="5"/>
        <v>50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3" t="s">
        <v>133</v>
      </c>
      <c r="B126" s="13" t="s">
        <v>134</v>
      </c>
      <c r="C126" s="14"/>
      <c r="D126" s="15">
        <v>1.0</v>
      </c>
      <c r="E126" s="1" t="s">
        <v>37</v>
      </c>
      <c r="F126" s="1" t="str">
        <f t="shared" si="1"/>
        <v>07/02/26MT2050</v>
      </c>
      <c r="G126" s="1" t="str">
        <f t="shared" si="2"/>
        <v>C07/02/26</v>
      </c>
      <c r="H126" s="1" t="str">
        <f>IFNA(VLOOKUP(TRIM(E126),Master!D:M,4,0),"")</f>
        <v>TANAH SUBUR 10KG BINTANG TANI</v>
      </c>
      <c r="I126" s="4">
        <v>1.0</v>
      </c>
      <c r="J126" s="5">
        <f>IFNA(VLOOKUP(E126,Master!D:U,14,0),0)</f>
        <v>10000</v>
      </c>
      <c r="K126" s="5">
        <v>0.0</v>
      </c>
      <c r="L126" s="5">
        <f t="shared" si="3"/>
        <v>10000</v>
      </c>
      <c r="M126" s="5">
        <f>IFNA(VLOOKUP(TRIM(E126),Master!D:U,13,0),"")</f>
        <v>6000</v>
      </c>
      <c r="N126" s="5">
        <f t="shared" si="4"/>
        <v>4000</v>
      </c>
      <c r="O126" s="4" t="s">
        <v>19</v>
      </c>
      <c r="P126" s="5">
        <f t="shared" si="5"/>
        <v>40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3" t="s">
        <v>133</v>
      </c>
      <c r="B127" s="13" t="s">
        <v>135</v>
      </c>
      <c r="C127" s="14"/>
      <c r="D127" s="15">
        <v>1.0</v>
      </c>
      <c r="E127" s="1" t="s">
        <v>22</v>
      </c>
      <c r="F127" s="1" t="str">
        <f t="shared" si="1"/>
        <v>07/02/26MT2037</v>
      </c>
      <c r="G127" s="1" t="str">
        <f t="shared" si="2"/>
        <v>T07/02/26</v>
      </c>
      <c r="H127" s="1" t="str">
        <f>IFNA(VLOOKUP(TRIM(E127),Master!D:M,4,0),"")</f>
        <v>PUPUK KOMPOS 5KG</v>
      </c>
      <c r="I127" s="4">
        <v>1.0</v>
      </c>
      <c r="J127" s="5">
        <f>IFNA(VLOOKUP(E127,Master!D:U,14,0),0)</f>
        <v>10000</v>
      </c>
      <c r="K127" s="5">
        <v>0.0</v>
      </c>
      <c r="L127" s="5">
        <f t="shared" si="3"/>
        <v>10000</v>
      </c>
      <c r="M127" s="5">
        <f>IFNA(VLOOKUP(TRIM(E127),Master!D:U,13,0),"")</f>
        <v>5000</v>
      </c>
      <c r="N127" s="5">
        <f t="shared" si="4"/>
        <v>5000</v>
      </c>
      <c r="O127" s="16" t="s">
        <v>77</v>
      </c>
      <c r="P127" s="5">
        <f t="shared" si="5"/>
        <v>50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3" t="s">
        <v>133</v>
      </c>
      <c r="B128" s="2"/>
      <c r="C128" s="14"/>
      <c r="D128" s="3"/>
      <c r="E128" s="1" t="s">
        <v>89</v>
      </c>
      <c r="F128" s="1" t="str">
        <f t="shared" si="1"/>
        <v>07/02/26PL3079</v>
      </c>
      <c r="G128" s="1" t="str">
        <f t="shared" si="2"/>
        <v>T07/02/26</v>
      </c>
      <c r="H128" s="1" t="str">
        <f>IFNA(VLOOKUP(TRIM(E128),Master!D:M,4,0),"")</f>
        <v>NAME TAG TANAMAN</v>
      </c>
      <c r="I128" s="16">
        <v>3.0</v>
      </c>
      <c r="J128" s="5">
        <f>IFNA(VLOOKUP(E128,Master!D:U,14,0),0)</f>
        <v>1000</v>
      </c>
      <c r="K128" s="5">
        <v>0.0</v>
      </c>
      <c r="L128" s="5">
        <f t="shared" si="3"/>
        <v>3000</v>
      </c>
      <c r="M128" s="5">
        <f>IFNA(VLOOKUP(TRIM(E128),Master!D:U,13,0),"")</f>
        <v>200</v>
      </c>
      <c r="N128" s="5">
        <f t="shared" si="4"/>
        <v>2400</v>
      </c>
      <c r="O128" s="16" t="s">
        <v>77</v>
      </c>
      <c r="P128" s="5">
        <f t="shared" si="5"/>
        <v>80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3" t="s">
        <v>133</v>
      </c>
      <c r="B129" s="13" t="s">
        <v>136</v>
      </c>
      <c r="C129" s="14"/>
      <c r="D129" s="15">
        <v>1.0</v>
      </c>
      <c r="E129" s="1" t="s">
        <v>22</v>
      </c>
      <c r="F129" s="1" t="str">
        <f t="shared" si="1"/>
        <v>07/02/26MT2037</v>
      </c>
      <c r="G129" s="1" t="str">
        <f t="shared" si="2"/>
        <v>C07/02/26</v>
      </c>
      <c r="H129" s="1" t="str">
        <f>IFNA(VLOOKUP(TRIM(E129),Master!D:M,4,0),"")</f>
        <v>PUPUK KOMPOS 5KG</v>
      </c>
      <c r="I129" s="4">
        <v>1.0</v>
      </c>
      <c r="J129" s="5">
        <f>IFNA(VLOOKUP(E129,Master!D:U,14,0),0)</f>
        <v>10000</v>
      </c>
      <c r="K129" s="5">
        <v>0.0</v>
      </c>
      <c r="L129" s="5">
        <f t="shared" si="3"/>
        <v>10000</v>
      </c>
      <c r="M129" s="5">
        <f>IFNA(VLOOKUP(TRIM(E129),Master!D:U,13,0),"")</f>
        <v>5000</v>
      </c>
      <c r="N129" s="5">
        <f t="shared" si="4"/>
        <v>5000</v>
      </c>
      <c r="O129" s="4" t="s">
        <v>19</v>
      </c>
      <c r="P129" s="5">
        <f t="shared" si="5"/>
        <v>50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3" t="s">
        <v>133</v>
      </c>
      <c r="B130" s="2"/>
      <c r="C130" s="14"/>
      <c r="D130" s="3"/>
      <c r="E130" s="1" t="s">
        <v>137</v>
      </c>
      <c r="F130" s="1" t="str">
        <f t="shared" si="1"/>
        <v>07/02/26MT2020</v>
      </c>
      <c r="G130" s="1" t="str">
        <f t="shared" si="2"/>
        <v>C07/02/26</v>
      </c>
      <c r="H130" s="1" t="str">
        <f>IFNA(VLOOKUP(TRIM(E130),Master!D:M,4,0),"")</f>
        <v>PAKIS CACAH</v>
      </c>
      <c r="I130" s="4">
        <v>1.0</v>
      </c>
      <c r="J130" s="5">
        <f>IFNA(VLOOKUP(E130,Master!D:U,14,0),0)</f>
        <v>12000</v>
      </c>
      <c r="K130" s="5">
        <v>0.0</v>
      </c>
      <c r="L130" s="5">
        <f t="shared" si="3"/>
        <v>12000</v>
      </c>
      <c r="M130" s="5">
        <f>IFNA(VLOOKUP(TRIM(E130),Master!D:U,13,0),"")</f>
        <v>7000</v>
      </c>
      <c r="N130" s="5">
        <f t="shared" si="4"/>
        <v>5000</v>
      </c>
      <c r="O130" s="4" t="s">
        <v>19</v>
      </c>
      <c r="P130" s="5">
        <f t="shared" si="5"/>
        <v>41.66666667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3" t="s">
        <v>133</v>
      </c>
      <c r="B131" s="2"/>
      <c r="C131" s="14"/>
      <c r="D131" s="3"/>
      <c r="E131" s="1" t="s">
        <v>138</v>
      </c>
      <c r="F131" s="1" t="str">
        <f t="shared" si="1"/>
        <v>07/02/26MT2042</v>
      </c>
      <c r="G131" s="1" t="str">
        <f t="shared" si="2"/>
        <v>C07/02/26</v>
      </c>
      <c r="H131" s="1" t="str">
        <f>IFNA(VLOOKUP(TRIM(E131),Master!D:M,4,0),"")</f>
        <v>SEKAM FERMENTASI 10KG</v>
      </c>
      <c r="I131" s="4">
        <v>1.0</v>
      </c>
      <c r="J131" s="5">
        <f>IFNA(VLOOKUP(E131,Master!D:U,14,0),0)</f>
        <v>12000</v>
      </c>
      <c r="K131" s="5">
        <v>0.0</v>
      </c>
      <c r="L131" s="5">
        <f t="shared" si="3"/>
        <v>12000</v>
      </c>
      <c r="M131" s="5">
        <f>IFNA(VLOOKUP(TRIM(E131),Master!D:U,13,0),"")</f>
        <v>6000</v>
      </c>
      <c r="N131" s="5">
        <f t="shared" si="4"/>
        <v>6000</v>
      </c>
      <c r="O131" s="4" t="s">
        <v>19</v>
      </c>
      <c r="P131" s="5">
        <f t="shared" si="5"/>
        <v>50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3" t="s">
        <v>133</v>
      </c>
      <c r="B132" s="13" t="s">
        <v>139</v>
      </c>
      <c r="C132" s="14"/>
      <c r="D132" s="15">
        <v>1.0</v>
      </c>
      <c r="E132" s="1" t="s">
        <v>140</v>
      </c>
      <c r="F132" s="1" t="str">
        <f t="shared" si="1"/>
        <v>07/02/26MT2031</v>
      </c>
      <c r="G132" s="1" t="str">
        <f t="shared" si="2"/>
        <v>C07/02/26</v>
      </c>
      <c r="H132" s="1" t="str">
        <f>IFNA(VLOOKUP(TRIM(E132),Master!D:M,4,0),"")</f>
        <v>PINE BARK</v>
      </c>
      <c r="I132" s="4">
        <v>1.0</v>
      </c>
      <c r="J132" s="5">
        <f>IFNA(VLOOKUP(E132,Master!D:U,14,0),0)</f>
        <v>20000</v>
      </c>
      <c r="K132" s="18">
        <v>3000.0</v>
      </c>
      <c r="L132" s="5">
        <f t="shared" si="3"/>
        <v>17000</v>
      </c>
      <c r="M132" s="5">
        <f>IFNA(VLOOKUP(TRIM(E132),Master!D:U,13,0),"")</f>
        <v>12000</v>
      </c>
      <c r="N132" s="5">
        <f t="shared" si="4"/>
        <v>5000</v>
      </c>
      <c r="O132" s="4" t="s">
        <v>19</v>
      </c>
      <c r="P132" s="5">
        <f t="shared" si="5"/>
        <v>40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3" t="s">
        <v>133</v>
      </c>
      <c r="B133" s="2"/>
      <c r="C133" s="14"/>
      <c r="D133" s="3"/>
      <c r="E133" s="1" t="s">
        <v>78</v>
      </c>
      <c r="F133" s="1" t="str">
        <f t="shared" si="1"/>
        <v>07/02/26MT2003</v>
      </c>
      <c r="G133" s="1" t="str">
        <f t="shared" si="2"/>
        <v>C07/02/26</v>
      </c>
      <c r="H133" s="1" t="str">
        <f>IFNA(VLOOKUP(TRIM(E133),Master!D:M,4,0),"")</f>
        <v>ARANG 5KG</v>
      </c>
      <c r="I133" s="16">
        <v>2.0</v>
      </c>
      <c r="J133" s="5">
        <f>IFNA(VLOOKUP(E133,Master!D:U,14,0),0)</f>
        <v>15000</v>
      </c>
      <c r="K133" s="5">
        <v>0.0</v>
      </c>
      <c r="L133" s="5">
        <f t="shared" si="3"/>
        <v>30000</v>
      </c>
      <c r="M133" s="5">
        <f>IFNA(VLOOKUP(TRIM(E133),Master!D:U,13,0),"")</f>
        <v>8000</v>
      </c>
      <c r="N133" s="5">
        <f t="shared" si="4"/>
        <v>14000</v>
      </c>
      <c r="O133" s="4" t="s">
        <v>19</v>
      </c>
      <c r="P133" s="5">
        <f t="shared" si="5"/>
        <v>46.66666667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3" t="s">
        <v>133</v>
      </c>
      <c r="B134" s="2"/>
      <c r="C134" s="14"/>
      <c r="D134" s="3"/>
      <c r="E134" s="1" t="s">
        <v>141</v>
      </c>
      <c r="F134" s="1" t="str">
        <f t="shared" si="1"/>
        <v>07/02/26PL3138</v>
      </c>
      <c r="G134" s="1" t="str">
        <f t="shared" si="2"/>
        <v>C07/02/26</v>
      </c>
      <c r="H134" s="1" t="str">
        <f>IFNA(VLOOKUP(TRIM(E134),Master!D:M,4,0),"")</f>
        <v>POT ASTER 181 HITAM</v>
      </c>
      <c r="I134" s="16">
        <v>3.0</v>
      </c>
      <c r="J134" s="18">
        <v>12000.0</v>
      </c>
      <c r="K134" s="5">
        <v>0.0</v>
      </c>
      <c r="L134" s="5">
        <f t="shared" si="3"/>
        <v>36000</v>
      </c>
      <c r="M134" s="5" t="str">
        <f>IFNA(VLOOKUP(TRIM(E134),Master!D:U,13,0),"")</f>
        <v/>
      </c>
      <c r="N134" s="5">
        <f t="shared" si="4"/>
        <v>36000</v>
      </c>
      <c r="O134" s="4" t="s">
        <v>19</v>
      </c>
      <c r="P134" s="5">
        <f t="shared" si="5"/>
        <v>100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3" t="s">
        <v>133</v>
      </c>
      <c r="B135" s="2"/>
      <c r="C135" s="14"/>
      <c r="D135" s="3"/>
      <c r="E135" s="1" t="s">
        <v>142</v>
      </c>
      <c r="F135" s="1" t="str">
        <f t="shared" si="1"/>
        <v>07/02/26PL3139</v>
      </c>
      <c r="G135" s="1" t="str">
        <f t="shared" si="2"/>
        <v>C07/02/26</v>
      </c>
      <c r="H135" s="1" t="str">
        <f>IFNA(VLOOKUP(TRIM(E135),Master!D:M,4,0),"")</f>
        <v>POT ASTER 181 PUTIH</v>
      </c>
      <c r="I135" s="16">
        <v>6.0</v>
      </c>
      <c r="J135" s="18">
        <v>14000.0</v>
      </c>
      <c r="K135" s="5">
        <v>0.0</v>
      </c>
      <c r="L135" s="5">
        <f t="shared" si="3"/>
        <v>84000</v>
      </c>
      <c r="M135" s="5" t="str">
        <f>IFNA(VLOOKUP(TRIM(E135),Master!D:U,13,0),"")</f>
        <v/>
      </c>
      <c r="N135" s="5">
        <f t="shared" si="4"/>
        <v>84000</v>
      </c>
      <c r="O135" s="4" t="s">
        <v>19</v>
      </c>
      <c r="P135" s="5">
        <f t="shared" si="5"/>
        <v>100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3" t="s">
        <v>133</v>
      </c>
      <c r="B136" s="2"/>
      <c r="C136" s="14"/>
      <c r="D136" s="3"/>
      <c r="E136" s="1" t="s">
        <v>143</v>
      </c>
      <c r="F136" s="1" t="str">
        <f t="shared" si="1"/>
        <v>07/02/26PK5074</v>
      </c>
      <c r="G136" s="1" t="str">
        <f t="shared" si="2"/>
        <v>C07/02/26</v>
      </c>
      <c r="H136" s="1" t="str">
        <f>IFNA(VLOOKUP(TRIM(E136),Master!D:M,4,0),"")</f>
        <v>VITAMIN B1 HIJAU INFARM 100ML</v>
      </c>
      <c r="I136" s="4">
        <v>1.0</v>
      </c>
      <c r="J136" s="5">
        <f>IFNA(VLOOKUP(E136,Master!D:U,14,0),0)</f>
        <v>25000</v>
      </c>
      <c r="K136" s="18">
        <v>2000.0</v>
      </c>
      <c r="L136" s="5">
        <f t="shared" si="3"/>
        <v>23000</v>
      </c>
      <c r="M136" s="5" t="str">
        <f>IFNA(VLOOKUP(TRIM(E136),Master!D:U,13,0),"")</f>
        <v/>
      </c>
      <c r="N136" s="5">
        <f t="shared" si="4"/>
        <v>23000</v>
      </c>
      <c r="O136" s="16" t="s">
        <v>19</v>
      </c>
      <c r="P136" s="5">
        <f t="shared" si="5"/>
        <v>100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3" t="s">
        <v>133</v>
      </c>
      <c r="B137" s="13" t="s">
        <v>144</v>
      </c>
      <c r="C137" s="14"/>
      <c r="D137" s="15">
        <v>1.0</v>
      </c>
      <c r="E137" s="1" t="s">
        <v>59</v>
      </c>
      <c r="F137" s="1" t="str">
        <f t="shared" si="1"/>
        <v>07/02/26PK5068</v>
      </c>
      <c r="G137" s="1" t="str">
        <f t="shared" si="2"/>
        <v>O07/02/26</v>
      </c>
      <c r="H137" s="1" t="str">
        <f>IFNA(VLOOKUP(TRIM(E137),Master!D:M,4,0),"")</f>
        <v>PUPUK ZA 1KG</v>
      </c>
      <c r="I137" s="16">
        <v>3.0</v>
      </c>
      <c r="J137" s="5">
        <f>IFNA(VLOOKUP(E137,Master!D:U,14,0),0)</f>
        <v>9000</v>
      </c>
      <c r="K137" s="5">
        <v>0.0</v>
      </c>
      <c r="L137" s="5">
        <f t="shared" si="3"/>
        <v>27000</v>
      </c>
      <c r="M137" s="5">
        <f>IFNA(VLOOKUP(TRIM(E137),Master!D:U,13,0),"")</f>
        <v>6000</v>
      </c>
      <c r="N137" s="5">
        <f t="shared" si="4"/>
        <v>9000</v>
      </c>
      <c r="O137" s="16" t="s">
        <v>28</v>
      </c>
      <c r="P137" s="5">
        <f t="shared" si="5"/>
        <v>33.33333333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3" t="s">
        <v>133</v>
      </c>
      <c r="B138" s="2"/>
      <c r="C138" s="14"/>
      <c r="D138" s="3"/>
      <c r="E138" s="17" t="s">
        <v>42</v>
      </c>
      <c r="F138" s="1" t="str">
        <f t="shared" si="1"/>
        <v>07/02/26PL3042</v>
      </c>
      <c r="G138" s="1" t="str">
        <f t="shared" si="2"/>
        <v>O07/02/26</v>
      </c>
      <c r="H138" s="1" t="str">
        <f>IFNA(VLOOKUP(TRIM(E138),Master!D:M,4,0),"")</f>
        <v>KAWAT BONSAI SILVER NO.2 ECERAN</v>
      </c>
      <c r="I138" s="16">
        <v>5.0</v>
      </c>
      <c r="J138" s="5">
        <f>IFNA(VLOOKUP(E138,Master!D:U,14,0),0)</f>
        <v>1500</v>
      </c>
      <c r="K138" s="5">
        <v>0.0</v>
      </c>
      <c r="L138" s="5">
        <f t="shared" si="3"/>
        <v>7500</v>
      </c>
      <c r="M138" s="5">
        <f>IFNA(VLOOKUP(TRIM(E138),Master!D:U,13,0),"")</f>
        <v>800</v>
      </c>
      <c r="N138" s="5">
        <f t="shared" si="4"/>
        <v>3500</v>
      </c>
      <c r="O138" s="16" t="s">
        <v>28</v>
      </c>
      <c r="P138" s="5">
        <f t="shared" si="5"/>
        <v>46.66666667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3" t="s">
        <v>133</v>
      </c>
      <c r="B139" s="2"/>
      <c r="C139" s="14"/>
      <c r="D139" s="3"/>
      <c r="E139" s="1" t="s">
        <v>33</v>
      </c>
      <c r="F139" s="1" t="str">
        <f t="shared" si="1"/>
        <v>07/02/26PL3040</v>
      </c>
      <c r="G139" s="1" t="str">
        <f t="shared" si="2"/>
        <v>O07/02/26</v>
      </c>
      <c r="H139" s="1" t="str">
        <f>IFNA(VLOOKUP(TRIM(E139),Master!D:M,4,0),"")</f>
        <v>KAWAT BONSAI SILVER NO.1.5 ECERAN</v>
      </c>
      <c r="I139" s="16">
        <v>5.0</v>
      </c>
      <c r="J139" s="5">
        <f>IFNA(VLOOKUP(E139,Master!D:U,14,0),0)</f>
        <v>750</v>
      </c>
      <c r="K139" s="5">
        <v>0.0</v>
      </c>
      <c r="L139" s="5">
        <f t="shared" si="3"/>
        <v>3750</v>
      </c>
      <c r="M139" s="5">
        <f>IFNA(VLOOKUP(TRIM(E139),Master!D:U,13,0),"")</f>
        <v>444</v>
      </c>
      <c r="N139" s="5">
        <f t="shared" si="4"/>
        <v>1530</v>
      </c>
      <c r="O139" s="16" t="s">
        <v>28</v>
      </c>
      <c r="P139" s="5">
        <f t="shared" si="5"/>
        <v>40.8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3" t="s">
        <v>133</v>
      </c>
      <c r="B140" s="13" t="s">
        <v>145</v>
      </c>
      <c r="C140" s="14"/>
      <c r="D140" s="15">
        <v>1.0</v>
      </c>
      <c r="E140" s="1" t="s">
        <v>37</v>
      </c>
      <c r="F140" s="1" t="str">
        <f t="shared" si="1"/>
        <v>07/02/26MT2050</v>
      </c>
      <c r="G140" s="1" t="str">
        <f t="shared" si="2"/>
        <v>C07/02/26</v>
      </c>
      <c r="H140" s="1" t="str">
        <f>IFNA(VLOOKUP(TRIM(E140),Master!D:M,4,0),"")</f>
        <v>TANAH SUBUR 10KG BINTANG TANI</v>
      </c>
      <c r="I140" s="4">
        <v>1.0</v>
      </c>
      <c r="J140" s="5">
        <f>IFNA(VLOOKUP(E140,Master!D:U,14,0),0)</f>
        <v>10000</v>
      </c>
      <c r="K140" s="5">
        <v>0.0</v>
      </c>
      <c r="L140" s="5">
        <f t="shared" si="3"/>
        <v>10000</v>
      </c>
      <c r="M140" s="5">
        <f>IFNA(VLOOKUP(TRIM(E140),Master!D:U,13,0),"")</f>
        <v>6000</v>
      </c>
      <c r="N140" s="5">
        <f t="shared" si="4"/>
        <v>4000</v>
      </c>
      <c r="O140" s="4" t="s">
        <v>19</v>
      </c>
      <c r="P140" s="5">
        <f t="shared" si="5"/>
        <v>40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3" t="s">
        <v>133</v>
      </c>
      <c r="B141" s="2"/>
      <c r="C141" s="14"/>
      <c r="D141" s="3"/>
      <c r="E141" s="1" t="s">
        <v>140</v>
      </c>
      <c r="F141" s="1" t="str">
        <f t="shared" si="1"/>
        <v>07/02/26MT2031</v>
      </c>
      <c r="G141" s="1" t="str">
        <f t="shared" si="2"/>
        <v>C07/02/26</v>
      </c>
      <c r="H141" s="1" t="str">
        <f>IFNA(VLOOKUP(TRIM(E141),Master!D:M,4,0),"")</f>
        <v>PINE BARK</v>
      </c>
      <c r="I141" s="4">
        <v>1.0</v>
      </c>
      <c r="J141" s="5">
        <f>IFNA(VLOOKUP(E141,Master!D:U,14,0),0)</f>
        <v>20000</v>
      </c>
      <c r="K141" s="18">
        <v>3000.0</v>
      </c>
      <c r="L141" s="5">
        <f t="shared" si="3"/>
        <v>17000</v>
      </c>
      <c r="M141" s="5">
        <f>IFNA(VLOOKUP(TRIM(E141),Master!D:U,13,0),"")</f>
        <v>12000</v>
      </c>
      <c r="N141" s="5">
        <f t="shared" si="4"/>
        <v>5000</v>
      </c>
      <c r="O141" s="4" t="s">
        <v>19</v>
      </c>
      <c r="P141" s="5">
        <f t="shared" si="5"/>
        <v>40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3" t="s">
        <v>133</v>
      </c>
      <c r="B142" s="13" t="s">
        <v>146</v>
      </c>
      <c r="C142" s="14"/>
      <c r="D142" s="15">
        <v>1.0</v>
      </c>
      <c r="E142" s="1" t="s">
        <v>37</v>
      </c>
      <c r="F142" s="1" t="str">
        <f t="shared" si="1"/>
        <v>07/02/26MT2050</v>
      </c>
      <c r="G142" s="1" t="str">
        <f t="shared" si="2"/>
        <v>C07/02/26</v>
      </c>
      <c r="H142" s="1" t="str">
        <f>IFNA(VLOOKUP(TRIM(E142),Master!D:M,4,0),"")</f>
        <v>TANAH SUBUR 10KG BINTANG TANI</v>
      </c>
      <c r="I142" s="16">
        <v>2.0</v>
      </c>
      <c r="J142" s="5">
        <f>IFNA(VLOOKUP(E142,Master!D:U,14,0),0)</f>
        <v>10000</v>
      </c>
      <c r="K142" s="5">
        <v>0.0</v>
      </c>
      <c r="L142" s="5">
        <f t="shared" si="3"/>
        <v>20000</v>
      </c>
      <c r="M142" s="5">
        <f>IFNA(VLOOKUP(TRIM(E142),Master!D:U,13,0),"")</f>
        <v>6000</v>
      </c>
      <c r="N142" s="5">
        <f t="shared" si="4"/>
        <v>8000</v>
      </c>
      <c r="O142" s="4" t="s">
        <v>19</v>
      </c>
      <c r="P142" s="5">
        <f t="shared" si="5"/>
        <v>40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3" t="s">
        <v>133</v>
      </c>
      <c r="B143" s="13" t="s">
        <v>147</v>
      </c>
      <c r="C143" s="14"/>
      <c r="D143" s="15">
        <v>1.0</v>
      </c>
      <c r="E143" s="1" t="s">
        <v>37</v>
      </c>
      <c r="F143" s="1" t="str">
        <f t="shared" si="1"/>
        <v>07/02/26MT2050</v>
      </c>
      <c r="G143" s="1" t="str">
        <f t="shared" si="2"/>
        <v>C07/02/26</v>
      </c>
      <c r="H143" s="1" t="str">
        <f>IFNA(VLOOKUP(TRIM(E143),Master!D:M,4,0),"")</f>
        <v>TANAH SUBUR 10KG BINTANG TANI</v>
      </c>
      <c r="I143" s="4">
        <v>1.0</v>
      </c>
      <c r="J143" s="5">
        <f>IFNA(VLOOKUP(E143,Master!D:U,14,0),0)</f>
        <v>10000</v>
      </c>
      <c r="K143" s="5">
        <v>0.0</v>
      </c>
      <c r="L143" s="5">
        <f t="shared" si="3"/>
        <v>10000</v>
      </c>
      <c r="M143" s="5">
        <f>IFNA(VLOOKUP(TRIM(E143),Master!D:U,13,0),"")</f>
        <v>6000</v>
      </c>
      <c r="N143" s="5">
        <f t="shared" si="4"/>
        <v>4000</v>
      </c>
      <c r="O143" s="4" t="s">
        <v>19</v>
      </c>
      <c r="P143" s="5">
        <f t="shared" si="5"/>
        <v>40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3" t="s">
        <v>133</v>
      </c>
      <c r="B144" s="13" t="s">
        <v>147</v>
      </c>
      <c r="C144" s="14"/>
      <c r="D144" s="15">
        <v>1.0</v>
      </c>
      <c r="E144" s="1" t="s">
        <v>148</v>
      </c>
      <c r="F144" s="1" t="str">
        <f t="shared" si="1"/>
        <v>07/02/26PS4006</v>
      </c>
      <c r="G144" s="1" t="str">
        <f t="shared" si="2"/>
        <v>C07/02/26</v>
      </c>
      <c r="H144" s="1" t="str">
        <f>IFNA(VLOOKUP(TRIM(E144),Master!D:M,4,0),"")</f>
        <v>GRAMOXONE 250ML</v>
      </c>
      <c r="I144" s="4">
        <v>1.0</v>
      </c>
      <c r="J144" s="5">
        <f>IFNA(VLOOKUP(E144,Master!D:U,14,0),0)</f>
        <v>35000</v>
      </c>
      <c r="K144" s="5">
        <v>0.0</v>
      </c>
      <c r="L144" s="5">
        <f t="shared" si="3"/>
        <v>35000</v>
      </c>
      <c r="M144" s="5">
        <f>IFNA(VLOOKUP(TRIM(E144),Master!D:U,13,0),"")</f>
        <v>22000</v>
      </c>
      <c r="N144" s="5">
        <f t="shared" si="4"/>
        <v>13000</v>
      </c>
      <c r="O144" s="4" t="s">
        <v>19</v>
      </c>
      <c r="P144" s="5">
        <f t="shared" si="5"/>
        <v>37.14285714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3" t="s">
        <v>133</v>
      </c>
      <c r="B145" s="13" t="s">
        <v>147</v>
      </c>
      <c r="C145" s="14"/>
      <c r="D145" s="15">
        <v>1.0</v>
      </c>
      <c r="E145" s="1" t="s">
        <v>149</v>
      </c>
      <c r="F145" s="1" t="str">
        <f t="shared" si="1"/>
        <v>07/02/26PL3165</v>
      </c>
      <c r="G145" s="1" t="str">
        <f t="shared" si="2"/>
        <v>C07/02/26</v>
      </c>
      <c r="H145" s="1" t="str">
        <f>IFNA(VLOOKUP(TRIM(E145),Master!D:M,4,0),"")</f>
        <v>POT GMP HITAM 40 POLOS</v>
      </c>
      <c r="I145" s="4">
        <v>1.0</v>
      </c>
      <c r="J145" s="18">
        <v>17500.0</v>
      </c>
      <c r="K145" s="18">
        <v>500.0</v>
      </c>
      <c r="L145" s="5">
        <f t="shared" si="3"/>
        <v>17000</v>
      </c>
      <c r="M145" s="5">
        <f>IFNA(VLOOKUP(TRIM(E145),Master!D:U,13,0),"")</f>
        <v>14000</v>
      </c>
      <c r="N145" s="5">
        <f t="shared" si="4"/>
        <v>3000</v>
      </c>
      <c r="O145" s="16" t="s">
        <v>19</v>
      </c>
      <c r="P145" s="5">
        <f t="shared" si="5"/>
        <v>20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3" t="s">
        <v>133</v>
      </c>
      <c r="B146" s="13" t="s">
        <v>150</v>
      </c>
      <c r="C146" s="14"/>
      <c r="D146" s="15">
        <v>1.0</v>
      </c>
      <c r="E146" s="1" t="s">
        <v>37</v>
      </c>
      <c r="F146" s="1" t="str">
        <f t="shared" si="1"/>
        <v>07/02/26MT2050</v>
      </c>
      <c r="G146" s="1" t="str">
        <f t="shared" si="2"/>
        <v>C07/02/26</v>
      </c>
      <c r="H146" s="1" t="str">
        <f>IFNA(VLOOKUP(TRIM(E146),Master!D:M,4,0),"")</f>
        <v>TANAH SUBUR 10KG BINTANG TANI</v>
      </c>
      <c r="I146" s="4">
        <v>1.0</v>
      </c>
      <c r="J146" s="5">
        <f>IFNA(VLOOKUP(E146,Master!D:U,14,0),0)</f>
        <v>10000</v>
      </c>
      <c r="K146" s="5">
        <v>0.0</v>
      </c>
      <c r="L146" s="5">
        <f t="shared" si="3"/>
        <v>10000</v>
      </c>
      <c r="M146" s="5">
        <f>IFNA(VLOOKUP(TRIM(E146),Master!D:U,13,0),"")</f>
        <v>6000</v>
      </c>
      <c r="N146" s="5">
        <f t="shared" si="4"/>
        <v>4000</v>
      </c>
      <c r="O146" s="4" t="s">
        <v>19</v>
      </c>
      <c r="P146" s="5">
        <f t="shared" si="5"/>
        <v>40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3" t="s">
        <v>133</v>
      </c>
      <c r="B147" s="2"/>
      <c r="C147" s="14"/>
      <c r="D147" s="3"/>
      <c r="E147" s="1" t="s">
        <v>94</v>
      </c>
      <c r="F147" s="1" t="str">
        <f t="shared" si="1"/>
        <v>07/02/26MT2039</v>
      </c>
      <c r="G147" s="1" t="str">
        <f t="shared" si="2"/>
        <v>C07/02/26</v>
      </c>
      <c r="H147" s="1" t="str">
        <f>IFNA(VLOOKUP(TRIM(E147),Master!D:M,4,0),"")</f>
        <v>SEKAM BAKAR 10KG</v>
      </c>
      <c r="I147" s="4">
        <v>1.0</v>
      </c>
      <c r="J147" s="5">
        <f>IFNA(VLOOKUP(E147,Master!D:U,14,0),0)</f>
        <v>12000</v>
      </c>
      <c r="K147" s="5">
        <v>0.0</v>
      </c>
      <c r="L147" s="5">
        <f t="shared" si="3"/>
        <v>12000</v>
      </c>
      <c r="M147" s="5">
        <f>IFNA(VLOOKUP(TRIM(E147),Master!D:U,13,0),"")</f>
        <v>6000</v>
      </c>
      <c r="N147" s="5">
        <f t="shared" si="4"/>
        <v>6000</v>
      </c>
      <c r="O147" s="4" t="s">
        <v>19</v>
      </c>
      <c r="P147" s="5">
        <f t="shared" si="5"/>
        <v>50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3" t="s">
        <v>133</v>
      </c>
      <c r="B148" s="2"/>
      <c r="C148" s="14"/>
      <c r="D148" s="3"/>
      <c r="E148" s="1" t="s">
        <v>151</v>
      </c>
      <c r="F148" s="1" t="str">
        <f t="shared" si="1"/>
        <v>07/02/26PL3022</v>
      </c>
      <c r="G148" s="1" t="str">
        <f t="shared" si="2"/>
        <v>C07/02/26</v>
      </c>
      <c r="H148" s="1" t="str">
        <f>IFNA(VLOOKUP(TRIM(E148),Master!D:M,4,0),"")</f>
        <v>GUNTING STEK HITAM KUNING</v>
      </c>
      <c r="I148" s="4">
        <v>1.0</v>
      </c>
      <c r="J148" s="5">
        <f>IFNA(VLOOKUP(E148,Master!D:U,14,0),0)</f>
        <v>65000</v>
      </c>
      <c r="K148" s="18">
        <v>2000.0</v>
      </c>
      <c r="L148" s="5">
        <f t="shared" si="3"/>
        <v>63000</v>
      </c>
      <c r="M148" s="5">
        <f>IFNA(VLOOKUP(TRIM(E148),Master!D:U,13,0),"")</f>
        <v>30000</v>
      </c>
      <c r="N148" s="5">
        <f t="shared" si="4"/>
        <v>33000</v>
      </c>
      <c r="O148" s="4" t="s">
        <v>19</v>
      </c>
      <c r="P148" s="5">
        <f t="shared" si="5"/>
        <v>53.84615385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3" t="s">
        <v>133</v>
      </c>
      <c r="B149" s="13" t="s">
        <v>152</v>
      </c>
      <c r="C149" s="14"/>
      <c r="D149" s="15">
        <v>1.0</v>
      </c>
      <c r="E149" s="1" t="s">
        <v>18</v>
      </c>
      <c r="F149" s="1" t="str">
        <f t="shared" si="1"/>
        <v>07/02/26PK5043</v>
      </c>
      <c r="G149" s="1" t="str">
        <f t="shared" si="2"/>
        <v>C07/02/26</v>
      </c>
      <c r="H149" s="1" t="str">
        <f>IFNA(VLOOKUP(TRIM(E149),Master!D:M,4,0),"")</f>
        <v>PUPUK KAMBING 5KG</v>
      </c>
      <c r="I149" s="16">
        <v>2.0</v>
      </c>
      <c r="J149" s="5">
        <f>IFNA(VLOOKUP(E149,Master!D:U,14,0),0)</f>
        <v>15000</v>
      </c>
      <c r="K149" s="5">
        <v>0.0</v>
      </c>
      <c r="L149" s="5">
        <f t="shared" si="3"/>
        <v>30000</v>
      </c>
      <c r="M149" s="5">
        <f>IFNA(VLOOKUP(TRIM(E149),Master!D:U,13,0),"")</f>
        <v>8000</v>
      </c>
      <c r="N149" s="5">
        <f t="shared" si="4"/>
        <v>14000</v>
      </c>
      <c r="O149" s="4" t="s">
        <v>19</v>
      </c>
      <c r="P149" s="5">
        <f t="shared" si="5"/>
        <v>46.66666667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3" t="s">
        <v>133</v>
      </c>
      <c r="B150" s="2"/>
      <c r="C150" s="14"/>
      <c r="D150" s="3"/>
      <c r="E150" s="1" t="s">
        <v>34</v>
      </c>
      <c r="F150" s="1" t="str">
        <f t="shared" si="1"/>
        <v>07/02/26MT2053</v>
      </c>
      <c r="G150" s="1" t="str">
        <f t="shared" si="2"/>
        <v>C07/02/26</v>
      </c>
      <c r="H150" s="1" t="str">
        <f>IFNA(VLOOKUP(TRIM(E150),Master!D:M,4,0),"")</f>
        <v>TANAH SUBUR 25KG BINTANG TANI</v>
      </c>
      <c r="I150" s="16">
        <v>2.0</v>
      </c>
      <c r="J150" s="5">
        <f>IFNA(VLOOKUP(E150,Master!D:U,14,0),0)</f>
        <v>25000</v>
      </c>
      <c r="K150" s="5">
        <v>0.0</v>
      </c>
      <c r="L150" s="5">
        <f t="shared" si="3"/>
        <v>50000</v>
      </c>
      <c r="M150" s="5">
        <f>IFNA(VLOOKUP(TRIM(E150),Master!D:U,13,0),"")</f>
        <v>15000</v>
      </c>
      <c r="N150" s="5">
        <f t="shared" si="4"/>
        <v>20000</v>
      </c>
      <c r="O150" s="4" t="s">
        <v>19</v>
      </c>
      <c r="P150" s="5">
        <f t="shared" si="5"/>
        <v>40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3" t="s">
        <v>153</v>
      </c>
      <c r="B151" s="13" t="s">
        <v>154</v>
      </c>
      <c r="C151" s="14"/>
      <c r="D151" s="15">
        <v>1.0</v>
      </c>
      <c r="E151" s="1" t="s">
        <v>148</v>
      </c>
      <c r="F151" s="1" t="str">
        <f t="shared" si="1"/>
        <v>08/02/26PS4006</v>
      </c>
      <c r="G151" s="1" t="str">
        <f t="shared" si="2"/>
        <v>C08/02/26</v>
      </c>
      <c r="H151" s="1" t="str">
        <f>IFNA(VLOOKUP(TRIM(E151),Master!D:M,4,0),"")</f>
        <v>GRAMOXONE 250ML</v>
      </c>
      <c r="I151" s="4">
        <v>1.0</v>
      </c>
      <c r="J151" s="5">
        <f>IFNA(VLOOKUP(E151,Master!D:U,14,0),0)</f>
        <v>35000</v>
      </c>
      <c r="K151" s="5">
        <v>0.0</v>
      </c>
      <c r="L151" s="5">
        <f t="shared" si="3"/>
        <v>35000</v>
      </c>
      <c r="M151" s="5">
        <f>IFNA(VLOOKUP(TRIM(E151),Master!D:U,13,0),"")</f>
        <v>22000</v>
      </c>
      <c r="N151" s="5">
        <f t="shared" si="4"/>
        <v>13000</v>
      </c>
      <c r="O151" s="4" t="s">
        <v>19</v>
      </c>
      <c r="P151" s="5">
        <f t="shared" si="5"/>
        <v>37.14285714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3" t="s">
        <v>153</v>
      </c>
      <c r="B152" s="13" t="s">
        <v>155</v>
      </c>
      <c r="C152" s="14"/>
      <c r="D152" s="15">
        <v>1.0</v>
      </c>
      <c r="E152" s="1" t="s">
        <v>37</v>
      </c>
      <c r="F152" s="1" t="str">
        <f t="shared" si="1"/>
        <v>08/02/26MT2050</v>
      </c>
      <c r="G152" s="1" t="str">
        <f t="shared" si="2"/>
        <v>I08/02/26</v>
      </c>
      <c r="H152" s="1" t="str">
        <f>IFNA(VLOOKUP(TRIM(E152),Master!D:M,4,0),"")</f>
        <v>TANAH SUBUR 10KG BINTANG TANI</v>
      </c>
      <c r="I152" s="16">
        <v>3.0</v>
      </c>
      <c r="J152" s="5">
        <f>IFNA(VLOOKUP(E152,Master!D:U,14,0),0)</f>
        <v>10000</v>
      </c>
      <c r="K152" s="5">
        <v>0.0</v>
      </c>
      <c r="L152" s="5">
        <f t="shared" si="3"/>
        <v>30000</v>
      </c>
      <c r="M152" s="5">
        <f>IFNA(VLOOKUP(TRIM(E152),Master!D:U,13,0),"")</f>
        <v>6000</v>
      </c>
      <c r="N152" s="5">
        <f t="shared" si="4"/>
        <v>12000</v>
      </c>
      <c r="O152" s="16" t="s">
        <v>23</v>
      </c>
      <c r="P152" s="5">
        <f t="shared" si="5"/>
        <v>40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3" t="s">
        <v>153</v>
      </c>
      <c r="B153" s="2"/>
      <c r="C153" s="14"/>
      <c r="D153" s="3"/>
      <c r="E153" s="1" t="s">
        <v>37</v>
      </c>
      <c r="F153" s="1" t="str">
        <f t="shared" si="1"/>
        <v>08/02/26MT2050</v>
      </c>
      <c r="G153" s="1" t="str">
        <f t="shared" si="2"/>
        <v>I08/02/26</v>
      </c>
      <c r="H153" s="1" t="str">
        <f>IFNA(VLOOKUP(TRIM(E153),Master!D:M,4,0),"")</f>
        <v>TANAH SUBUR 10KG BINTANG TANI</v>
      </c>
      <c r="I153" s="16">
        <v>3.0</v>
      </c>
      <c r="J153" s="5">
        <f>IFNA(VLOOKUP(E153,Master!D:U,14,0),0)</f>
        <v>10000</v>
      </c>
      <c r="K153" s="5">
        <v>0.0</v>
      </c>
      <c r="L153" s="5">
        <f t="shared" si="3"/>
        <v>30000</v>
      </c>
      <c r="M153" s="5">
        <f>IFNA(VLOOKUP(TRIM(E153),Master!D:U,13,0),"")</f>
        <v>6000</v>
      </c>
      <c r="N153" s="5">
        <f t="shared" si="4"/>
        <v>12000</v>
      </c>
      <c r="O153" s="16" t="s">
        <v>23</v>
      </c>
      <c r="P153" s="5">
        <f t="shared" si="5"/>
        <v>40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3" t="s">
        <v>153</v>
      </c>
      <c r="B154" s="13" t="s">
        <v>156</v>
      </c>
      <c r="C154" s="14"/>
      <c r="D154" s="15">
        <v>1.0</v>
      </c>
      <c r="E154" s="1" t="s">
        <v>37</v>
      </c>
      <c r="F154" s="1" t="str">
        <f t="shared" si="1"/>
        <v>08/02/26MT2050</v>
      </c>
      <c r="G154" s="1" t="str">
        <f t="shared" si="2"/>
        <v>C08/02/26</v>
      </c>
      <c r="H154" s="1" t="str">
        <f>IFNA(VLOOKUP(TRIM(E154),Master!D:M,4,0),"")</f>
        <v>TANAH SUBUR 10KG BINTANG TANI</v>
      </c>
      <c r="I154" s="4">
        <v>1.0</v>
      </c>
      <c r="J154" s="5">
        <f>IFNA(VLOOKUP(E154,Master!D:U,14,0),0)</f>
        <v>10000</v>
      </c>
      <c r="K154" s="5">
        <v>0.0</v>
      </c>
      <c r="L154" s="5">
        <f t="shared" si="3"/>
        <v>10000</v>
      </c>
      <c r="M154" s="5">
        <f>IFNA(VLOOKUP(TRIM(E154),Master!D:U,13,0),"")</f>
        <v>6000</v>
      </c>
      <c r="N154" s="5">
        <f t="shared" si="4"/>
        <v>4000</v>
      </c>
      <c r="O154" s="16" t="s">
        <v>19</v>
      </c>
      <c r="P154" s="5">
        <f t="shared" si="5"/>
        <v>40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3" t="s">
        <v>153</v>
      </c>
      <c r="B155" s="2"/>
      <c r="C155" s="14"/>
      <c r="D155" s="3"/>
      <c r="E155" s="1" t="s">
        <v>157</v>
      </c>
      <c r="F155" s="1" t="str">
        <f t="shared" si="1"/>
        <v>08/02/26PL3157</v>
      </c>
      <c r="G155" s="1" t="str">
        <f t="shared" si="2"/>
        <v>C08/02/26</v>
      </c>
      <c r="H155" s="1" t="str">
        <f>IFNA(VLOOKUP(TRIM(E155),Master!D:M,4,0),"")</f>
        <v>POT GMP HITAM 15 POLOS</v>
      </c>
      <c r="I155" s="4">
        <v>1.0</v>
      </c>
      <c r="J155" s="5">
        <f>IFNA(VLOOKUP(E155,Master!D:U,14,0),0)</f>
        <v>2000</v>
      </c>
      <c r="K155" s="5">
        <v>0.0</v>
      </c>
      <c r="L155" s="5">
        <f t="shared" si="3"/>
        <v>2000</v>
      </c>
      <c r="M155" s="5">
        <f>IFNA(VLOOKUP(TRIM(E155),Master!D:U,13,0),"")</f>
        <v>1375</v>
      </c>
      <c r="N155" s="5">
        <f t="shared" si="4"/>
        <v>625</v>
      </c>
      <c r="O155" s="4" t="s">
        <v>19</v>
      </c>
      <c r="P155" s="5">
        <f t="shared" si="5"/>
        <v>31.25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3" t="s">
        <v>153</v>
      </c>
      <c r="B156" s="13" t="s">
        <v>158</v>
      </c>
      <c r="C156" s="14"/>
      <c r="D156" s="15">
        <v>1.0</v>
      </c>
      <c r="E156" s="1" t="s">
        <v>33</v>
      </c>
      <c r="F156" s="1" t="str">
        <f t="shared" si="1"/>
        <v>08/02/26PL3040</v>
      </c>
      <c r="G156" s="1" t="str">
        <f t="shared" si="2"/>
        <v>O08/02/26</v>
      </c>
      <c r="H156" s="1" t="str">
        <f>IFNA(VLOOKUP(TRIM(E156),Master!D:M,4,0),"")</f>
        <v>KAWAT BONSAI SILVER NO.1.5 ECERAN</v>
      </c>
      <c r="I156" s="16">
        <v>10.0</v>
      </c>
      <c r="J156" s="5">
        <f>IFNA(VLOOKUP(E156,Master!D:U,14,0),0)</f>
        <v>750</v>
      </c>
      <c r="K156" s="5">
        <v>0.0</v>
      </c>
      <c r="L156" s="5">
        <f t="shared" si="3"/>
        <v>7500</v>
      </c>
      <c r="M156" s="5">
        <f>IFNA(VLOOKUP(TRIM(E156),Master!D:U,13,0),"")</f>
        <v>444</v>
      </c>
      <c r="N156" s="5">
        <f t="shared" si="4"/>
        <v>3060</v>
      </c>
      <c r="O156" s="16" t="s">
        <v>28</v>
      </c>
      <c r="P156" s="5">
        <f t="shared" si="5"/>
        <v>40.8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3" t="s">
        <v>153</v>
      </c>
      <c r="B157" s="2"/>
      <c r="C157" s="14"/>
      <c r="D157" s="3"/>
      <c r="E157" s="1" t="s">
        <v>33</v>
      </c>
      <c r="F157" s="1" t="str">
        <f t="shared" si="1"/>
        <v>08/02/26PL3040</v>
      </c>
      <c r="G157" s="1" t="str">
        <f t="shared" si="2"/>
        <v>O08/02/26</v>
      </c>
      <c r="H157" s="1" t="str">
        <f>IFNA(VLOOKUP(TRIM(E157),Master!D:M,4,0),"")</f>
        <v>KAWAT BONSAI SILVER NO.1.5 ECERAN</v>
      </c>
      <c r="I157" s="16">
        <v>5.0</v>
      </c>
      <c r="J157" s="5">
        <f>IFNA(VLOOKUP(E157,Master!D:U,14,0),0)</f>
        <v>750</v>
      </c>
      <c r="K157" s="5">
        <v>0.0</v>
      </c>
      <c r="L157" s="5">
        <f t="shared" si="3"/>
        <v>3750</v>
      </c>
      <c r="M157" s="5">
        <f>IFNA(VLOOKUP(TRIM(E157),Master!D:U,13,0),"")</f>
        <v>444</v>
      </c>
      <c r="N157" s="5">
        <f t="shared" si="4"/>
        <v>1530</v>
      </c>
      <c r="O157" s="16" t="s">
        <v>28</v>
      </c>
      <c r="P157" s="5">
        <f t="shared" si="5"/>
        <v>40.8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3" t="s">
        <v>153</v>
      </c>
      <c r="B158" s="2"/>
      <c r="C158" s="14"/>
      <c r="D158" s="3"/>
      <c r="E158" s="1" t="s">
        <v>138</v>
      </c>
      <c r="F158" s="1" t="str">
        <f t="shared" si="1"/>
        <v>08/02/26MT2042</v>
      </c>
      <c r="G158" s="1" t="str">
        <f t="shared" si="2"/>
        <v>O08/02/26</v>
      </c>
      <c r="H158" s="1" t="str">
        <f>IFNA(VLOOKUP(TRIM(E158),Master!D:M,4,0),"")</f>
        <v>SEKAM FERMENTASI 10KG</v>
      </c>
      <c r="I158" s="4">
        <v>1.0</v>
      </c>
      <c r="J158" s="5">
        <f>IFNA(VLOOKUP(E158,Master!D:U,14,0),0)</f>
        <v>12000</v>
      </c>
      <c r="K158" s="5">
        <v>0.0</v>
      </c>
      <c r="L158" s="5">
        <f t="shared" si="3"/>
        <v>12000</v>
      </c>
      <c r="M158" s="5">
        <f>IFNA(VLOOKUP(TRIM(E158),Master!D:U,13,0),"")</f>
        <v>6000</v>
      </c>
      <c r="N158" s="5">
        <f t="shared" si="4"/>
        <v>6000</v>
      </c>
      <c r="O158" s="16" t="s">
        <v>28</v>
      </c>
      <c r="P158" s="5">
        <f t="shared" si="5"/>
        <v>50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3" t="s">
        <v>153</v>
      </c>
      <c r="B159" s="13" t="s">
        <v>159</v>
      </c>
      <c r="C159" s="14"/>
      <c r="D159" s="15">
        <v>1.0</v>
      </c>
      <c r="E159" s="1" t="s">
        <v>37</v>
      </c>
      <c r="F159" s="1" t="str">
        <f t="shared" si="1"/>
        <v>08/02/26MT2050</v>
      </c>
      <c r="G159" s="1" t="str">
        <f t="shared" si="2"/>
        <v>C08/02/26</v>
      </c>
      <c r="H159" s="1" t="str">
        <f>IFNA(VLOOKUP(TRIM(E159),Master!D:M,4,0),"")</f>
        <v>TANAH SUBUR 10KG BINTANG TANI</v>
      </c>
      <c r="I159" s="16">
        <v>2.0</v>
      </c>
      <c r="J159" s="5">
        <f>IFNA(VLOOKUP(E159,Master!D:U,14,0),0)</f>
        <v>10000</v>
      </c>
      <c r="K159" s="5">
        <v>0.0</v>
      </c>
      <c r="L159" s="5">
        <f t="shared" si="3"/>
        <v>20000</v>
      </c>
      <c r="M159" s="5">
        <f>IFNA(VLOOKUP(TRIM(E159),Master!D:U,13,0),"")</f>
        <v>6000</v>
      </c>
      <c r="N159" s="5">
        <f t="shared" si="4"/>
        <v>8000</v>
      </c>
      <c r="O159" s="4" t="s">
        <v>19</v>
      </c>
      <c r="P159" s="5">
        <f t="shared" si="5"/>
        <v>40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3" t="s">
        <v>153</v>
      </c>
      <c r="B160" s="2"/>
      <c r="C160" s="14"/>
      <c r="D160" s="3"/>
      <c r="E160" s="1" t="s">
        <v>91</v>
      </c>
      <c r="F160" s="1" t="str">
        <f t="shared" si="1"/>
        <v>08/02/26PK5048</v>
      </c>
      <c r="G160" s="1" t="str">
        <f t="shared" si="2"/>
        <v>C08/02/26</v>
      </c>
      <c r="H160" s="1" t="str">
        <f>IFNA(VLOOKUP(TRIM(E160),Master!D:M,4,0),"")</f>
        <v>PUPUK MUTIARA 161616 100GR RPK</v>
      </c>
      <c r="I160" s="4">
        <v>1.0</v>
      </c>
      <c r="J160" s="5">
        <f>IFNA(VLOOKUP(E160,Master!D:U,14,0),0)</f>
        <v>3000</v>
      </c>
      <c r="K160" s="18">
        <v>-2000.0</v>
      </c>
      <c r="L160" s="5">
        <f t="shared" si="3"/>
        <v>5000</v>
      </c>
      <c r="M160" s="5">
        <f>IFNA(VLOOKUP(TRIM(E160),Master!D:U,13,0),"")</f>
        <v>1900</v>
      </c>
      <c r="N160" s="5">
        <f t="shared" si="4"/>
        <v>3100</v>
      </c>
      <c r="O160" s="4" t="s">
        <v>19</v>
      </c>
      <c r="P160" s="5">
        <f t="shared" si="5"/>
        <v>36.66666667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3" t="s">
        <v>153</v>
      </c>
      <c r="B161" s="13" t="s">
        <v>160</v>
      </c>
      <c r="C161" s="14"/>
      <c r="D161" s="15">
        <v>1.0</v>
      </c>
      <c r="E161" s="1" t="s">
        <v>29</v>
      </c>
      <c r="F161" s="1" t="str">
        <f t="shared" si="1"/>
        <v>08/02/26PL3028</v>
      </c>
      <c r="G161" s="1" t="str">
        <f t="shared" si="2"/>
        <v>O08/02/26</v>
      </c>
      <c r="H161" s="1" t="str">
        <f>IFNA(VLOOKUP(TRIM(E161),Master!D:M,4,0),"")</f>
        <v>KAWAT BONSAI HITAM NO.2 ECERAN</v>
      </c>
      <c r="I161" s="16">
        <v>5.0</v>
      </c>
      <c r="J161" s="5">
        <f>IFNA(VLOOKUP(E161,Master!D:U,14,0),0)</f>
        <v>2000</v>
      </c>
      <c r="K161" s="5">
        <v>0.0</v>
      </c>
      <c r="L161" s="5">
        <f t="shared" si="3"/>
        <v>10000</v>
      </c>
      <c r="M161" s="5">
        <f>IFNA(VLOOKUP(TRIM(E161),Master!D:U,13,0),"")</f>
        <v>1220</v>
      </c>
      <c r="N161" s="5">
        <f t="shared" si="4"/>
        <v>3900</v>
      </c>
      <c r="O161" s="16" t="s">
        <v>28</v>
      </c>
      <c r="P161" s="5">
        <f t="shared" si="5"/>
        <v>39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3" t="s">
        <v>153</v>
      </c>
      <c r="B162" s="13" t="s">
        <v>161</v>
      </c>
      <c r="C162" s="14"/>
      <c r="D162" s="15">
        <v>1.0</v>
      </c>
      <c r="E162" s="1" t="s">
        <v>140</v>
      </c>
      <c r="F162" s="1" t="str">
        <f t="shared" si="1"/>
        <v>08/02/26MT2031</v>
      </c>
      <c r="G162" s="1" t="str">
        <f t="shared" si="2"/>
        <v>C08/02/26</v>
      </c>
      <c r="H162" s="1" t="str">
        <f>IFNA(VLOOKUP(TRIM(E162),Master!D:M,4,0),"")</f>
        <v>PINE BARK</v>
      </c>
      <c r="I162" s="4">
        <v>1.0</v>
      </c>
      <c r="J162" s="5">
        <f>IFNA(VLOOKUP(E162,Master!D:U,14,0),0)</f>
        <v>20000</v>
      </c>
      <c r="K162" s="18">
        <v>3000.0</v>
      </c>
      <c r="L162" s="5">
        <f t="shared" si="3"/>
        <v>17000</v>
      </c>
      <c r="M162" s="5">
        <f>IFNA(VLOOKUP(TRIM(E162),Master!D:U,13,0),"")</f>
        <v>12000</v>
      </c>
      <c r="N162" s="5">
        <f t="shared" si="4"/>
        <v>5000</v>
      </c>
      <c r="O162" s="4" t="s">
        <v>19</v>
      </c>
      <c r="P162" s="5">
        <f t="shared" si="5"/>
        <v>40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3" t="s">
        <v>153</v>
      </c>
      <c r="B163" s="13" t="s">
        <v>162</v>
      </c>
      <c r="C163" s="14"/>
      <c r="D163" s="15">
        <v>1.0</v>
      </c>
      <c r="E163" s="1" t="s">
        <v>91</v>
      </c>
      <c r="F163" s="1" t="str">
        <f t="shared" si="1"/>
        <v>08/02/26PK5048</v>
      </c>
      <c r="G163" s="1" t="str">
        <f t="shared" si="2"/>
        <v>I08/02/26</v>
      </c>
      <c r="H163" s="1" t="str">
        <f>IFNA(VLOOKUP(TRIM(E163),Master!D:M,4,0),"")</f>
        <v>PUPUK MUTIARA 161616 100GR RPK</v>
      </c>
      <c r="I163" s="16">
        <v>2.0</v>
      </c>
      <c r="J163" s="5">
        <f>IFNA(VLOOKUP(E163,Master!D:U,14,0),0)</f>
        <v>3000</v>
      </c>
      <c r="K163" s="18">
        <v>-4000.0</v>
      </c>
      <c r="L163" s="5">
        <f t="shared" si="3"/>
        <v>10000</v>
      </c>
      <c r="M163" s="5">
        <f>IFNA(VLOOKUP(TRIM(E163),Master!D:U,13,0),"")</f>
        <v>1900</v>
      </c>
      <c r="N163" s="5">
        <f t="shared" si="4"/>
        <v>6200</v>
      </c>
      <c r="O163" s="16" t="s">
        <v>23</v>
      </c>
      <c r="P163" s="5">
        <f t="shared" si="5"/>
        <v>36.66666667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3" t="s">
        <v>153</v>
      </c>
      <c r="B164" s="2"/>
      <c r="C164" s="14"/>
      <c r="D164" s="3"/>
      <c r="E164" s="1" t="s">
        <v>22</v>
      </c>
      <c r="F164" s="1" t="str">
        <f t="shared" si="1"/>
        <v>08/02/26MT2037</v>
      </c>
      <c r="G164" s="1" t="str">
        <f t="shared" si="2"/>
        <v>I08/02/26</v>
      </c>
      <c r="H164" s="1" t="str">
        <f>IFNA(VLOOKUP(TRIM(E164),Master!D:M,4,0),"")</f>
        <v>PUPUK KOMPOS 5KG</v>
      </c>
      <c r="I164" s="4">
        <v>1.0</v>
      </c>
      <c r="J164" s="5">
        <f>IFNA(VLOOKUP(E164,Master!D:U,14,0),0)</f>
        <v>10000</v>
      </c>
      <c r="K164" s="5">
        <v>0.0</v>
      </c>
      <c r="L164" s="5">
        <f t="shared" si="3"/>
        <v>10000</v>
      </c>
      <c r="M164" s="5">
        <f>IFNA(VLOOKUP(TRIM(E164),Master!D:U,13,0),"")</f>
        <v>5000</v>
      </c>
      <c r="N164" s="5">
        <f t="shared" si="4"/>
        <v>5000</v>
      </c>
      <c r="O164" s="16" t="s">
        <v>23</v>
      </c>
      <c r="P164" s="5">
        <f t="shared" si="5"/>
        <v>50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3" t="s">
        <v>153</v>
      </c>
      <c r="B165" s="2"/>
      <c r="C165" s="14"/>
      <c r="D165" s="3"/>
      <c r="E165" s="1" t="s">
        <v>163</v>
      </c>
      <c r="F165" s="1" t="str">
        <f t="shared" si="1"/>
        <v>08/02/26PL3008</v>
      </c>
      <c r="G165" s="1" t="str">
        <f t="shared" si="2"/>
        <v>I08/02/26</v>
      </c>
      <c r="H165" s="1" t="str">
        <f>IFNA(VLOOKUP(TRIM(E165),Master!D:M,4,0),"")</f>
        <v>GUNTING DAHAN/STEK WIPRO</v>
      </c>
      <c r="I165" s="4">
        <v>1.0</v>
      </c>
      <c r="J165" s="5">
        <f>IFNA(VLOOKUP(E165,Master!D:U,14,0),0)</f>
        <v>135000</v>
      </c>
      <c r="K165" s="5">
        <v>0.0</v>
      </c>
      <c r="L165" s="5">
        <f t="shared" si="3"/>
        <v>135000</v>
      </c>
      <c r="M165" s="5">
        <f>IFNA(VLOOKUP(TRIM(E165),Master!D:U,13,0),"")</f>
        <v>105104</v>
      </c>
      <c r="N165" s="5">
        <f t="shared" si="4"/>
        <v>29896</v>
      </c>
      <c r="O165" s="16" t="s">
        <v>23</v>
      </c>
      <c r="P165" s="5">
        <f t="shared" si="5"/>
        <v>22.14518519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3" t="s">
        <v>153</v>
      </c>
      <c r="B166" s="13" t="s">
        <v>164</v>
      </c>
      <c r="C166" s="14"/>
      <c r="D166" s="15">
        <v>1.0</v>
      </c>
      <c r="E166" s="1" t="s">
        <v>53</v>
      </c>
      <c r="F166" s="1" t="str">
        <f t="shared" si="1"/>
        <v>08/02/26PL3089</v>
      </c>
      <c r="G166" s="1" t="str">
        <f t="shared" si="2"/>
        <v>C08/02/26</v>
      </c>
      <c r="H166" s="1" t="str">
        <f>IFNA(VLOOKUP(TRIM(E166),Master!D:M,4,0),"")</f>
        <v>SPRAYER 1LITER</v>
      </c>
      <c r="I166" s="4">
        <v>1.0</v>
      </c>
      <c r="J166" s="5">
        <f>IFNA(VLOOKUP(E166,Master!D:U,14,0),0)</f>
        <v>35000</v>
      </c>
      <c r="K166" s="5">
        <v>0.0</v>
      </c>
      <c r="L166" s="5">
        <f t="shared" si="3"/>
        <v>35000</v>
      </c>
      <c r="M166" s="5">
        <f>IFNA(VLOOKUP(TRIM(E166),Master!D:U,13,0),"")</f>
        <v>29000</v>
      </c>
      <c r="N166" s="5">
        <f t="shared" si="4"/>
        <v>6000</v>
      </c>
      <c r="O166" s="4" t="s">
        <v>19</v>
      </c>
      <c r="P166" s="5">
        <f t="shared" si="5"/>
        <v>17.14285714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3" t="s">
        <v>153</v>
      </c>
      <c r="B167" s="2"/>
      <c r="C167" s="14"/>
      <c r="D167" s="3"/>
      <c r="E167" s="1" t="s">
        <v>165</v>
      </c>
      <c r="F167" s="1" t="str">
        <f t="shared" si="1"/>
        <v>08/02/26PK5071</v>
      </c>
      <c r="G167" s="1" t="str">
        <f t="shared" si="2"/>
        <v>C08/02/26</v>
      </c>
      <c r="H167" s="1" t="str">
        <f>IFNA(VLOOKUP(TRIM(E167),Master!D:M,4,0),"")</f>
        <v>VITAMIN B1 100ML TAIWAN</v>
      </c>
      <c r="I167" s="4">
        <v>1.0</v>
      </c>
      <c r="J167" s="5">
        <f>IFNA(VLOOKUP(E167,Master!D:U,14,0),0)</f>
        <v>50000</v>
      </c>
      <c r="K167" s="5">
        <v>0.0</v>
      </c>
      <c r="L167" s="5">
        <f t="shared" si="3"/>
        <v>50000</v>
      </c>
      <c r="M167" s="5">
        <f>IFNA(VLOOKUP(TRIM(E167),Master!D:U,13,0),"")</f>
        <v>30000</v>
      </c>
      <c r="N167" s="5">
        <f t="shared" si="4"/>
        <v>20000</v>
      </c>
      <c r="O167" s="4" t="s">
        <v>19</v>
      </c>
      <c r="P167" s="5">
        <f t="shared" si="5"/>
        <v>40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3" t="s">
        <v>153</v>
      </c>
      <c r="B168" s="13" t="s">
        <v>166</v>
      </c>
      <c r="C168" s="14"/>
      <c r="D168" s="15">
        <v>1.0</v>
      </c>
      <c r="E168" s="1" t="s">
        <v>109</v>
      </c>
      <c r="F168" s="1" t="str">
        <f t="shared" si="1"/>
        <v>08/02/26PK5013</v>
      </c>
      <c r="G168" s="1" t="str">
        <f t="shared" si="2"/>
        <v>C08/02/26</v>
      </c>
      <c r="H168" s="1" t="str">
        <f>IFNA(VLOOKUP(TRIM(E168),Master!D:M,4,0),"")</f>
        <v>DEKASTAR 171110 KTK 100GR</v>
      </c>
      <c r="I168" s="4">
        <v>1.0</v>
      </c>
      <c r="J168" s="5">
        <f>IFNA(VLOOKUP(E168,Master!D:U,14,0),0)</f>
        <v>30000</v>
      </c>
      <c r="K168" s="5">
        <v>0.0</v>
      </c>
      <c r="L168" s="5">
        <f t="shared" si="3"/>
        <v>30000</v>
      </c>
      <c r="M168" s="5">
        <f>IFNA(VLOOKUP(TRIM(E168),Master!D:U,13,0),"")</f>
        <v>24000</v>
      </c>
      <c r="N168" s="5">
        <f t="shared" si="4"/>
        <v>6000</v>
      </c>
      <c r="O168" s="4" t="s">
        <v>19</v>
      </c>
      <c r="P168" s="5">
        <f t="shared" si="5"/>
        <v>20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3" t="s">
        <v>153</v>
      </c>
      <c r="B169" s="2"/>
      <c r="C169" s="14"/>
      <c r="D169" s="3"/>
      <c r="E169" s="1" t="s">
        <v>132</v>
      </c>
      <c r="F169" s="1" t="str">
        <f t="shared" si="1"/>
        <v>08/02/26PL3085</v>
      </c>
      <c r="G169" s="1" t="str">
        <f t="shared" si="2"/>
        <v>C08/02/26</v>
      </c>
      <c r="H169" s="1" t="str">
        <f>IFNA(VLOOKUP(TRIM(E169),Master!D:M,4,0),"")</f>
        <v>SALEP KAMBIUM 100ML</v>
      </c>
      <c r="I169" s="4">
        <v>1.0</v>
      </c>
      <c r="J169" s="5">
        <f>IFNA(VLOOKUP(E169,Master!D:U,14,0),0)</f>
        <v>35000</v>
      </c>
      <c r="K169" s="5">
        <v>0.0</v>
      </c>
      <c r="L169" s="5">
        <f t="shared" si="3"/>
        <v>35000</v>
      </c>
      <c r="M169" s="5">
        <f>IFNA(VLOOKUP(TRIM(E169),Master!D:U,13,0),"")</f>
        <v>16078</v>
      </c>
      <c r="N169" s="5">
        <f t="shared" si="4"/>
        <v>18922</v>
      </c>
      <c r="O169" s="4" t="s">
        <v>19</v>
      </c>
      <c r="P169" s="5">
        <f t="shared" si="5"/>
        <v>54.06285714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3" t="s">
        <v>153</v>
      </c>
      <c r="B170" s="2"/>
      <c r="C170" s="14"/>
      <c r="D170" s="3"/>
      <c r="E170" s="17" t="s">
        <v>42</v>
      </c>
      <c r="F170" s="1" t="str">
        <f t="shared" si="1"/>
        <v>08/02/26PL3042</v>
      </c>
      <c r="G170" s="1" t="str">
        <f t="shared" si="2"/>
        <v>C08/02/26</v>
      </c>
      <c r="H170" s="1" t="str">
        <f>IFNA(VLOOKUP(TRIM(E170),Master!D:M,4,0),"")</f>
        <v>KAWAT BONSAI SILVER NO.2 ECERAN</v>
      </c>
      <c r="I170" s="16">
        <v>10.0</v>
      </c>
      <c r="J170" s="5">
        <f>IFNA(VLOOKUP(E170,Master!D:U,14,0),0)</f>
        <v>1500</v>
      </c>
      <c r="K170" s="5">
        <v>0.0</v>
      </c>
      <c r="L170" s="5">
        <f t="shared" si="3"/>
        <v>15000</v>
      </c>
      <c r="M170" s="5">
        <f>IFNA(VLOOKUP(TRIM(E170),Master!D:U,13,0),"")</f>
        <v>800</v>
      </c>
      <c r="N170" s="5">
        <f t="shared" si="4"/>
        <v>7000</v>
      </c>
      <c r="O170" s="4" t="s">
        <v>19</v>
      </c>
      <c r="P170" s="5">
        <f t="shared" si="5"/>
        <v>46.66666667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3" t="s">
        <v>153</v>
      </c>
      <c r="B171" s="2"/>
      <c r="C171" s="14"/>
      <c r="D171" s="3"/>
      <c r="E171" s="1" t="s">
        <v>59</v>
      </c>
      <c r="F171" s="1" t="str">
        <f t="shared" si="1"/>
        <v>08/02/26PK5068</v>
      </c>
      <c r="G171" s="1" t="str">
        <f t="shared" si="2"/>
        <v>C08/02/26</v>
      </c>
      <c r="H171" s="1" t="str">
        <f>IFNA(VLOOKUP(TRIM(E171),Master!D:M,4,0),"")</f>
        <v>PUPUK ZA 1KG</v>
      </c>
      <c r="I171" s="4">
        <v>1.0</v>
      </c>
      <c r="J171" s="5">
        <f>IFNA(VLOOKUP(E171,Master!D:U,14,0),0)</f>
        <v>9000</v>
      </c>
      <c r="K171" s="5">
        <v>0.0</v>
      </c>
      <c r="L171" s="5">
        <f t="shared" si="3"/>
        <v>9000</v>
      </c>
      <c r="M171" s="5">
        <f>IFNA(VLOOKUP(TRIM(E171),Master!D:U,13,0),"")</f>
        <v>6000</v>
      </c>
      <c r="N171" s="5">
        <f t="shared" si="4"/>
        <v>3000</v>
      </c>
      <c r="O171" s="4" t="s">
        <v>19</v>
      </c>
      <c r="P171" s="5">
        <f t="shared" si="5"/>
        <v>33.33333333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3" t="s">
        <v>153</v>
      </c>
      <c r="B172" s="2"/>
      <c r="C172" s="14"/>
      <c r="D172" s="3"/>
      <c r="E172" s="1" t="s">
        <v>167</v>
      </c>
      <c r="F172" s="1" t="str">
        <f t="shared" si="1"/>
        <v>08/02/26PS4019</v>
      </c>
      <c r="G172" s="1" t="str">
        <f t="shared" si="2"/>
        <v>C08/02/26</v>
      </c>
      <c r="H172" s="1" t="str">
        <f>IFNA(VLOOKUP(TRIM(E172),Master!D:M,4,0),"")</f>
        <v>FURADAN RPK 100GR</v>
      </c>
      <c r="I172" s="4">
        <v>1.0</v>
      </c>
      <c r="J172" s="5">
        <f>IFNA(VLOOKUP(E172,Master!D:U,14,0),0)</f>
        <v>5000</v>
      </c>
      <c r="K172" s="5">
        <v>0.0</v>
      </c>
      <c r="L172" s="5">
        <f t="shared" si="3"/>
        <v>5000</v>
      </c>
      <c r="M172" s="5">
        <f>IFNA(VLOOKUP(TRIM(E172),Master!D:U,13,0),"")</f>
        <v>2600</v>
      </c>
      <c r="N172" s="5">
        <f t="shared" si="4"/>
        <v>2400</v>
      </c>
      <c r="O172" s="16" t="s">
        <v>19</v>
      </c>
      <c r="P172" s="5">
        <f t="shared" si="5"/>
        <v>48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3" t="s">
        <v>153</v>
      </c>
      <c r="B173" s="13" t="s">
        <v>168</v>
      </c>
      <c r="C173" s="14"/>
      <c r="D173" s="15">
        <v>1.0</v>
      </c>
      <c r="E173" s="1" t="s">
        <v>34</v>
      </c>
      <c r="F173" s="1" t="str">
        <f t="shared" si="1"/>
        <v>08/02/26MT2053</v>
      </c>
      <c r="G173" s="1" t="str">
        <f t="shared" si="2"/>
        <v>C08/02/26</v>
      </c>
      <c r="H173" s="1" t="str">
        <f>IFNA(VLOOKUP(TRIM(E173),Master!D:M,4,0),"")</f>
        <v>TANAH SUBUR 25KG BINTANG TANI</v>
      </c>
      <c r="I173" s="4">
        <v>1.0</v>
      </c>
      <c r="J173" s="5">
        <f>IFNA(VLOOKUP(E173,Master!D:U,14,0),0)</f>
        <v>25000</v>
      </c>
      <c r="K173" s="5">
        <v>0.0</v>
      </c>
      <c r="L173" s="5">
        <f t="shared" si="3"/>
        <v>25000</v>
      </c>
      <c r="M173" s="5">
        <f>IFNA(VLOOKUP(TRIM(E173),Master!D:U,13,0),"")</f>
        <v>15000</v>
      </c>
      <c r="N173" s="5">
        <f t="shared" si="4"/>
        <v>10000</v>
      </c>
      <c r="O173" s="4" t="s">
        <v>19</v>
      </c>
      <c r="P173" s="5">
        <f t="shared" si="5"/>
        <v>40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3" t="s">
        <v>153</v>
      </c>
      <c r="B174" s="2"/>
      <c r="C174" s="14"/>
      <c r="D174" s="3"/>
      <c r="E174" s="1" t="s">
        <v>138</v>
      </c>
      <c r="F174" s="1" t="str">
        <f t="shared" si="1"/>
        <v>08/02/26MT2042</v>
      </c>
      <c r="G174" s="1" t="str">
        <f t="shared" si="2"/>
        <v>C08/02/26</v>
      </c>
      <c r="H174" s="1" t="str">
        <f>IFNA(VLOOKUP(TRIM(E174),Master!D:M,4,0),"")</f>
        <v>SEKAM FERMENTASI 10KG</v>
      </c>
      <c r="I174" s="4">
        <v>1.0</v>
      </c>
      <c r="J174" s="5">
        <f>IFNA(VLOOKUP(E174,Master!D:U,14,0),0)</f>
        <v>12000</v>
      </c>
      <c r="K174" s="5">
        <v>0.0</v>
      </c>
      <c r="L174" s="5">
        <f t="shared" si="3"/>
        <v>12000</v>
      </c>
      <c r="M174" s="5">
        <f>IFNA(VLOOKUP(TRIM(E174),Master!D:U,13,0),"")</f>
        <v>6000</v>
      </c>
      <c r="N174" s="5">
        <f t="shared" si="4"/>
        <v>6000</v>
      </c>
      <c r="O174" s="4" t="s">
        <v>19</v>
      </c>
      <c r="P174" s="5">
        <f t="shared" si="5"/>
        <v>50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3" t="s">
        <v>153</v>
      </c>
      <c r="B175" s="2"/>
      <c r="C175" s="14"/>
      <c r="D175" s="3"/>
      <c r="E175" s="1" t="s">
        <v>18</v>
      </c>
      <c r="F175" s="1" t="str">
        <f t="shared" si="1"/>
        <v>08/02/26PK5043</v>
      </c>
      <c r="G175" s="1" t="str">
        <f t="shared" si="2"/>
        <v>C08/02/26</v>
      </c>
      <c r="H175" s="1" t="str">
        <f>IFNA(VLOOKUP(TRIM(E175),Master!D:M,4,0),"")</f>
        <v>PUPUK KAMBING 5KG</v>
      </c>
      <c r="I175" s="4">
        <v>1.0</v>
      </c>
      <c r="J175" s="5">
        <f>IFNA(VLOOKUP(E175,Master!D:U,14,0),0)</f>
        <v>15000</v>
      </c>
      <c r="K175" s="5">
        <v>0.0</v>
      </c>
      <c r="L175" s="5">
        <f t="shared" si="3"/>
        <v>15000</v>
      </c>
      <c r="M175" s="5">
        <f>IFNA(VLOOKUP(TRIM(E175),Master!D:U,13,0),"")</f>
        <v>8000</v>
      </c>
      <c r="N175" s="5">
        <f t="shared" si="4"/>
        <v>7000</v>
      </c>
      <c r="O175" s="4" t="s">
        <v>19</v>
      </c>
      <c r="P175" s="5">
        <f t="shared" si="5"/>
        <v>46.66666667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3" t="s">
        <v>153</v>
      </c>
      <c r="B176" s="2"/>
      <c r="C176" s="14"/>
      <c r="D176" s="3"/>
      <c r="E176" s="1" t="s">
        <v>169</v>
      </c>
      <c r="F176" s="1" t="str">
        <f t="shared" si="1"/>
        <v>08/02/26MT2035</v>
      </c>
      <c r="G176" s="1" t="str">
        <f t="shared" si="2"/>
        <v>C08/02/26</v>
      </c>
      <c r="H176" s="1" t="str">
        <f>IFNA(VLOOKUP(TRIM(E176),Master!D:M,4,0),"")</f>
        <v>PUPUK KAMBING BUTIRAN</v>
      </c>
      <c r="I176" s="4">
        <v>1.0</v>
      </c>
      <c r="J176" s="5">
        <f>IFNA(VLOOKUP(E176,Master!D:U,14,0),0)</f>
        <v>15000</v>
      </c>
      <c r="K176" s="5">
        <v>0.0</v>
      </c>
      <c r="L176" s="5">
        <f t="shared" si="3"/>
        <v>15000</v>
      </c>
      <c r="M176" s="5">
        <f>IFNA(VLOOKUP(TRIM(E176),Master!D:U,13,0),"")</f>
        <v>8000</v>
      </c>
      <c r="N176" s="5">
        <f t="shared" si="4"/>
        <v>7000</v>
      </c>
      <c r="O176" s="4" t="s">
        <v>19</v>
      </c>
      <c r="P176" s="5">
        <f t="shared" si="5"/>
        <v>46.66666667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3" t="s">
        <v>153</v>
      </c>
      <c r="B177" s="2"/>
      <c r="C177" s="14"/>
      <c r="D177" s="3"/>
      <c r="E177" s="1" t="s">
        <v>170</v>
      </c>
      <c r="F177" s="1" t="str">
        <f t="shared" si="1"/>
        <v>08/02/26PL3010</v>
      </c>
      <c r="G177" s="1" t="str">
        <f t="shared" si="2"/>
        <v>C08/02/26</v>
      </c>
      <c r="H177" s="1" t="str">
        <f>IFNA(VLOOKUP(TRIM(E177),Master!D:M,4,0),"")</f>
        <v>GUNTING PRUNING HIJAU-KUNING 21CM NO. 2110</v>
      </c>
      <c r="I177" s="4">
        <v>1.0</v>
      </c>
      <c r="J177" s="5">
        <f>IFNA(VLOOKUP(E177,Master!D:U,14,0),0)</f>
        <v>70000</v>
      </c>
      <c r="K177" s="5">
        <v>0.0</v>
      </c>
      <c r="L177" s="5">
        <f t="shared" si="3"/>
        <v>70000</v>
      </c>
      <c r="M177" s="5">
        <f>IFNA(VLOOKUP(TRIM(E177),Master!D:U,13,0),"")</f>
        <v>48500</v>
      </c>
      <c r="N177" s="5">
        <f t="shared" si="4"/>
        <v>21500</v>
      </c>
      <c r="O177" s="4" t="s">
        <v>19</v>
      </c>
      <c r="P177" s="5">
        <f t="shared" si="5"/>
        <v>30.71428571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3" t="s">
        <v>153</v>
      </c>
      <c r="B178" s="2"/>
      <c r="C178" s="14"/>
      <c r="D178" s="3"/>
      <c r="E178" s="1" t="s">
        <v>171</v>
      </c>
      <c r="F178" s="1" t="str">
        <f t="shared" si="1"/>
        <v>08/02/26OK1003</v>
      </c>
      <c r="G178" s="1" t="str">
        <f t="shared" si="2"/>
        <v>C08/02/26</v>
      </c>
      <c r="H178" s="1" t="str">
        <f>IFNA(VLOOKUP(TRIM(E178),Master!D:M,4,0),"")</f>
        <v>ONGKIR</v>
      </c>
      <c r="I178" s="4">
        <v>1.0</v>
      </c>
      <c r="J178" s="18">
        <v>15000.0</v>
      </c>
      <c r="K178" s="5">
        <v>0.0</v>
      </c>
      <c r="L178" s="5">
        <f t="shared" si="3"/>
        <v>15000</v>
      </c>
      <c r="M178" s="5">
        <f>IFNA(VLOOKUP(TRIM(E178),Master!D:U,13,0),"")</f>
        <v>0</v>
      </c>
      <c r="N178" s="5">
        <f t="shared" si="4"/>
        <v>15000</v>
      </c>
      <c r="O178" s="4" t="s">
        <v>19</v>
      </c>
      <c r="P178" s="5">
        <f t="shared" si="5"/>
        <v>100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3" t="s">
        <v>172</v>
      </c>
      <c r="B179" s="13" t="s">
        <v>173</v>
      </c>
      <c r="C179" s="14"/>
      <c r="D179" s="15">
        <v>1.0</v>
      </c>
      <c r="E179" s="1" t="s">
        <v>37</v>
      </c>
      <c r="F179" s="1" t="str">
        <f t="shared" si="1"/>
        <v>09/02/26MT2050</v>
      </c>
      <c r="G179" s="1" t="str">
        <f t="shared" si="2"/>
        <v>O09/02/26</v>
      </c>
      <c r="H179" s="1" t="str">
        <f>IFNA(VLOOKUP(TRIM(E179),Master!D:M,4,0),"")</f>
        <v>TANAH SUBUR 10KG BINTANG TANI</v>
      </c>
      <c r="I179" s="4">
        <v>1.0</v>
      </c>
      <c r="J179" s="5">
        <f>IFNA(VLOOKUP(E179,Master!D:U,14,0),0)</f>
        <v>10000</v>
      </c>
      <c r="K179" s="5">
        <v>0.0</v>
      </c>
      <c r="L179" s="5">
        <f t="shared" si="3"/>
        <v>10000</v>
      </c>
      <c r="M179" s="5">
        <f>IFNA(VLOOKUP(TRIM(E179),Master!D:U,13,0),"")</f>
        <v>6000</v>
      </c>
      <c r="N179" s="5">
        <f t="shared" si="4"/>
        <v>4000</v>
      </c>
      <c r="O179" s="16" t="s">
        <v>28</v>
      </c>
      <c r="P179" s="5">
        <f t="shared" si="5"/>
        <v>40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3" t="s">
        <v>172</v>
      </c>
      <c r="B180" s="2"/>
      <c r="C180" s="14"/>
      <c r="D180" s="3"/>
      <c r="E180" s="1" t="s">
        <v>18</v>
      </c>
      <c r="F180" s="1" t="str">
        <f t="shared" si="1"/>
        <v>09/02/26PK5043</v>
      </c>
      <c r="G180" s="1" t="str">
        <f t="shared" si="2"/>
        <v>O09/02/26</v>
      </c>
      <c r="H180" s="1" t="str">
        <f>IFNA(VLOOKUP(TRIM(E180),Master!D:M,4,0),"")</f>
        <v>PUPUK KAMBING 5KG</v>
      </c>
      <c r="I180" s="4">
        <v>1.0</v>
      </c>
      <c r="J180" s="5">
        <f>IFNA(VLOOKUP(E180,Master!D:U,14,0),0)</f>
        <v>15000</v>
      </c>
      <c r="K180" s="5">
        <v>0.0</v>
      </c>
      <c r="L180" s="5">
        <f t="shared" si="3"/>
        <v>15000</v>
      </c>
      <c r="M180" s="5">
        <f>IFNA(VLOOKUP(TRIM(E180),Master!D:U,13,0),"")</f>
        <v>8000</v>
      </c>
      <c r="N180" s="5">
        <f t="shared" si="4"/>
        <v>7000</v>
      </c>
      <c r="O180" s="16" t="s">
        <v>28</v>
      </c>
      <c r="P180" s="5">
        <f t="shared" si="5"/>
        <v>46.66666667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3" t="s">
        <v>172</v>
      </c>
      <c r="B181" s="2"/>
      <c r="C181" s="14"/>
      <c r="D181" s="3"/>
      <c r="E181" s="1" t="s">
        <v>174</v>
      </c>
      <c r="F181" s="1" t="str">
        <f t="shared" si="1"/>
        <v>09/02/26PK5010</v>
      </c>
      <c r="G181" s="1" t="str">
        <f t="shared" si="2"/>
        <v>O09/02/26</v>
      </c>
      <c r="H181" s="1" t="str">
        <f>IFNA(VLOOKUP(TRIM(E181),Master!D:M,4,0),"")</f>
        <v>DEKASTAR 131313 KTK 100GR</v>
      </c>
      <c r="I181" s="4">
        <v>1.0</v>
      </c>
      <c r="J181" s="5">
        <f>IFNA(VLOOKUP(E181,Master!D:U,14,0),0)</f>
        <v>30000</v>
      </c>
      <c r="K181" s="5">
        <v>0.0</v>
      </c>
      <c r="L181" s="5">
        <f t="shared" si="3"/>
        <v>30000</v>
      </c>
      <c r="M181" s="5">
        <f>IFNA(VLOOKUP(TRIM(E181),Master!D:U,13,0),"")</f>
        <v>24000</v>
      </c>
      <c r="N181" s="5">
        <f t="shared" si="4"/>
        <v>6000</v>
      </c>
      <c r="O181" s="16" t="s">
        <v>28</v>
      </c>
      <c r="P181" s="5">
        <f t="shared" si="5"/>
        <v>20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3" t="s">
        <v>172</v>
      </c>
      <c r="B182" s="2"/>
      <c r="C182" s="14"/>
      <c r="D182" s="3"/>
      <c r="E182" s="1" t="s">
        <v>175</v>
      </c>
      <c r="F182" s="1" t="str">
        <f t="shared" si="1"/>
        <v>09/02/26MT2046</v>
      </c>
      <c r="G182" s="1" t="str">
        <f t="shared" si="2"/>
        <v>O09/02/26</v>
      </c>
      <c r="H182" s="1" t="str">
        <f>IFNA(VLOOKUP(TRIM(E182),Master!D:M,4,0),"")</f>
        <v>SEKAM MENTAH 5KG</v>
      </c>
      <c r="I182" s="16">
        <v>2.0</v>
      </c>
      <c r="J182" s="5">
        <f>IFNA(VLOOKUP(E182,Master!D:U,14,0),0)</f>
        <v>5000</v>
      </c>
      <c r="K182" s="5">
        <v>0.0</v>
      </c>
      <c r="L182" s="5">
        <f t="shared" si="3"/>
        <v>10000</v>
      </c>
      <c r="M182" s="5">
        <f>IFNA(VLOOKUP(TRIM(E182),Master!D:U,13,0),"")</f>
        <v>1667</v>
      </c>
      <c r="N182" s="5">
        <f t="shared" si="4"/>
        <v>6666</v>
      </c>
      <c r="O182" s="16" t="s">
        <v>28</v>
      </c>
      <c r="P182" s="5">
        <f t="shared" si="5"/>
        <v>66.66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3" t="s">
        <v>172</v>
      </c>
      <c r="B183" s="2"/>
      <c r="C183" s="14"/>
      <c r="D183" s="3"/>
      <c r="E183" s="1" t="s">
        <v>108</v>
      </c>
      <c r="F183" s="1" t="str">
        <f t="shared" si="1"/>
        <v>09/02/26PK5037</v>
      </c>
      <c r="G183" s="1" t="str">
        <f t="shared" si="2"/>
        <v>O09/02/26</v>
      </c>
      <c r="H183" s="1" t="str">
        <f>IFNA(VLOOKUP(TRIM(E183),Master!D:M,4,0),"")</f>
        <v>PUPUK BIO FLOWER SUPER 100ML</v>
      </c>
      <c r="I183" s="16">
        <v>2.0</v>
      </c>
      <c r="J183" s="5">
        <f>IFNA(VLOOKUP(E183,Master!D:U,14,0),0)</f>
        <v>25000</v>
      </c>
      <c r="K183" s="5">
        <v>0.0</v>
      </c>
      <c r="L183" s="5">
        <f t="shared" si="3"/>
        <v>50000</v>
      </c>
      <c r="M183" s="5">
        <f>IFNA(VLOOKUP(TRIM(E183),Master!D:U,13,0),"")</f>
        <v>20000</v>
      </c>
      <c r="N183" s="5">
        <f t="shared" si="4"/>
        <v>10000</v>
      </c>
      <c r="O183" s="16" t="s">
        <v>28</v>
      </c>
      <c r="P183" s="5">
        <f t="shared" si="5"/>
        <v>20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3" t="s">
        <v>172</v>
      </c>
      <c r="B184" s="2"/>
      <c r="C184" s="14"/>
      <c r="D184" s="3"/>
      <c r="E184" s="1" t="s">
        <v>33</v>
      </c>
      <c r="F184" s="1" t="str">
        <f t="shared" si="1"/>
        <v>09/02/26PL3040</v>
      </c>
      <c r="G184" s="1" t="str">
        <f t="shared" si="2"/>
        <v>O09/02/26</v>
      </c>
      <c r="H184" s="1" t="str">
        <f>IFNA(VLOOKUP(TRIM(E184),Master!D:M,4,0),"")</f>
        <v>KAWAT BONSAI SILVER NO.1.5 ECERAN</v>
      </c>
      <c r="I184" s="16">
        <v>10.0</v>
      </c>
      <c r="J184" s="5">
        <f>IFNA(VLOOKUP(E184,Master!D:U,14,0),0)</f>
        <v>750</v>
      </c>
      <c r="K184" s="5">
        <v>0.0</v>
      </c>
      <c r="L184" s="5">
        <f t="shared" si="3"/>
        <v>7500</v>
      </c>
      <c r="M184" s="5">
        <f>IFNA(VLOOKUP(TRIM(E184),Master!D:U,13,0),"")</f>
        <v>444</v>
      </c>
      <c r="N184" s="5">
        <f t="shared" si="4"/>
        <v>3060</v>
      </c>
      <c r="O184" s="16" t="s">
        <v>28</v>
      </c>
      <c r="P184" s="5">
        <f t="shared" si="5"/>
        <v>40.8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3" t="s">
        <v>172</v>
      </c>
      <c r="B185" s="2"/>
      <c r="C185" s="14"/>
      <c r="D185" s="3"/>
      <c r="E185" s="1" t="s">
        <v>33</v>
      </c>
      <c r="F185" s="1" t="str">
        <f t="shared" si="1"/>
        <v>09/02/26PL3040</v>
      </c>
      <c r="G185" s="1" t="str">
        <f t="shared" si="2"/>
        <v>O09/02/26</v>
      </c>
      <c r="H185" s="1" t="str">
        <f>IFNA(VLOOKUP(TRIM(E185),Master!D:M,4,0),"")</f>
        <v>KAWAT BONSAI SILVER NO.1.5 ECERAN</v>
      </c>
      <c r="I185" s="16">
        <v>30.0</v>
      </c>
      <c r="J185" s="5">
        <f>IFNA(VLOOKUP(E185,Master!D:U,14,0),0)</f>
        <v>750</v>
      </c>
      <c r="K185" s="5">
        <v>0.0</v>
      </c>
      <c r="L185" s="5">
        <f t="shared" si="3"/>
        <v>22500</v>
      </c>
      <c r="M185" s="5">
        <f>IFNA(VLOOKUP(TRIM(E185),Master!D:U,13,0),"")</f>
        <v>444</v>
      </c>
      <c r="N185" s="5">
        <f t="shared" si="4"/>
        <v>9180</v>
      </c>
      <c r="O185" s="16" t="s">
        <v>28</v>
      </c>
      <c r="P185" s="5">
        <f t="shared" si="5"/>
        <v>40.8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3" t="s">
        <v>172</v>
      </c>
      <c r="B186" s="2"/>
      <c r="C186" s="14"/>
      <c r="D186" s="3"/>
      <c r="E186" s="1" t="s">
        <v>82</v>
      </c>
      <c r="F186" s="1" t="str">
        <f t="shared" si="1"/>
        <v>09/02/26PS4013</v>
      </c>
      <c r="G186" s="1" t="str">
        <f t="shared" si="2"/>
        <v>O09/02/26</v>
      </c>
      <c r="H186" s="1" t="str">
        <f>IFNA(VLOOKUP(TRIM(E186),Master!D:M,4,0),"")</f>
        <v>ALIKA 50ML</v>
      </c>
      <c r="I186" s="4">
        <v>1.0</v>
      </c>
      <c r="J186" s="5">
        <f>IFNA(VLOOKUP(E186,Master!D:U,14,0),0)</f>
        <v>42000</v>
      </c>
      <c r="K186" s="5">
        <v>0.0</v>
      </c>
      <c r="L186" s="5">
        <f t="shared" si="3"/>
        <v>42000</v>
      </c>
      <c r="M186" s="5">
        <f>IFNA(VLOOKUP(TRIM(E186),Master!D:U,13,0),"")</f>
        <v>36000</v>
      </c>
      <c r="N186" s="5">
        <f t="shared" si="4"/>
        <v>6000</v>
      </c>
      <c r="O186" s="16" t="s">
        <v>28</v>
      </c>
      <c r="P186" s="5">
        <f t="shared" si="5"/>
        <v>14.28571429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3" t="s">
        <v>172</v>
      </c>
      <c r="B187" s="2"/>
      <c r="C187" s="14"/>
      <c r="D187" s="3"/>
      <c r="E187" s="1" t="s">
        <v>60</v>
      </c>
      <c r="F187" s="1" t="str">
        <f t="shared" si="1"/>
        <v>09/02/26PK5066</v>
      </c>
      <c r="G187" s="1" t="str">
        <f t="shared" si="2"/>
        <v>O09/02/26</v>
      </c>
      <c r="H187" s="1" t="str">
        <f>IFNA(VLOOKUP(TRIM(E187),Master!D:M,4,0),"")</f>
        <v>PUPUK XPK 1KG</v>
      </c>
      <c r="I187" s="4">
        <v>1.0</v>
      </c>
      <c r="J187" s="5">
        <f>IFNA(VLOOKUP(E187,Master!D:U,14,0),0)</f>
        <v>90000</v>
      </c>
      <c r="K187" s="5">
        <v>0.0</v>
      </c>
      <c r="L187" s="5">
        <f t="shared" si="3"/>
        <v>90000</v>
      </c>
      <c r="M187" s="5">
        <f>IFNA(VLOOKUP(TRIM(E187),Master!D:U,13,0),"")</f>
        <v>75000</v>
      </c>
      <c r="N187" s="5">
        <f t="shared" si="4"/>
        <v>15000</v>
      </c>
      <c r="O187" s="16" t="s">
        <v>28</v>
      </c>
      <c r="P187" s="5">
        <f t="shared" si="5"/>
        <v>16.66666667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3" t="s">
        <v>172</v>
      </c>
      <c r="B188" s="13" t="s">
        <v>176</v>
      </c>
      <c r="C188" s="14"/>
      <c r="D188" s="15">
        <v>1.0</v>
      </c>
      <c r="E188" s="1" t="s">
        <v>69</v>
      </c>
      <c r="F188" s="1" t="str">
        <f t="shared" si="1"/>
        <v>09/02/26MT2018</v>
      </c>
      <c r="G188" s="1" t="str">
        <f t="shared" si="2"/>
        <v>C09/02/26</v>
      </c>
      <c r="H188" s="1" t="str">
        <f>IFNA(VLOOKUP(TRIM(E188),Master!D:M,4,0),"")</f>
        <v>MOSS HITAM 5KG</v>
      </c>
      <c r="I188" s="16">
        <v>2.0</v>
      </c>
      <c r="J188" s="5">
        <f>IFNA(VLOOKUP(E188,Master!D:U,14,0),0)</f>
        <v>12000</v>
      </c>
      <c r="K188" s="5">
        <v>0.0</v>
      </c>
      <c r="L188" s="5">
        <f t="shared" si="3"/>
        <v>24000</v>
      </c>
      <c r="M188" s="5">
        <f>IFNA(VLOOKUP(TRIM(E188),Master!D:U,13,0),"")</f>
        <v>7500</v>
      </c>
      <c r="N188" s="5">
        <f t="shared" si="4"/>
        <v>9000</v>
      </c>
      <c r="O188" s="4" t="s">
        <v>19</v>
      </c>
      <c r="P188" s="5">
        <f t="shared" si="5"/>
        <v>37.5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3" t="s">
        <v>172</v>
      </c>
      <c r="E189" s="1" t="s">
        <v>177</v>
      </c>
      <c r="F189" s="1" t="str">
        <f t="shared" si="1"/>
        <v>09/02/26PL3069</v>
      </c>
      <c r="G189" s="1" t="str">
        <f t="shared" si="2"/>
        <v>C09/02/26</v>
      </c>
      <c r="H189" s="1" t="str">
        <f>IFNA(VLOOKUP(TRIM(E189),Master!D:M,4,0),"")</f>
        <v>DC 25X25</v>
      </c>
      <c r="I189" s="4">
        <v>1.0</v>
      </c>
      <c r="J189" s="5">
        <f>IFNA(VLOOKUP(E189,Master!D:U,14,0),0)</f>
        <v>13000</v>
      </c>
      <c r="K189" s="5">
        <v>0.0</v>
      </c>
      <c r="L189" s="5">
        <f t="shared" si="3"/>
        <v>13000</v>
      </c>
      <c r="M189" s="5">
        <f>IFNA(VLOOKUP(TRIM(E189),Master!D:U,13,0),"")</f>
        <v>8000</v>
      </c>
      <c r="N189" s="5">
        <f t="shared" si="4"/>
        <v>5000</v>
      </c>
      <c r="O189" s="4" t="s">
        <v>19</v>
      </c>
      <c r="P189" s="5">
        <f t="shared" si="5"/>
        <v>38.46153846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3" t="s">
        <v>172</v>
      </c>
      <c r="B190" s="13" t="s">
        <v>178</v>
      </c>
      <c r="C190" s="14"/>
      <c r="D190" s="15">
        <v>1.0</v>
      </c>
      <c r="E190" s="1" t="s">
        <v>148</v>
      </c>
      <c r="F190" s="1" t="str">
        <f t="shared" si="1"/>
        <v>09/02/26PS4006</v>
      </c>
      <c r="G190" s="1" t="str">
        <f t="shared" si="2"/>
        <v>C09/02/26</v>
      </c>
      <c r="H190" s="1" t="str">
        <f>IFNA(VLOOKUP(TRIM(E190),Master!D:M,4,0),"")</f>
        <v>GRAMOXONE 250ML</v>
      </c>
      <c r="I190" s="4">
        <v>1.0</v>
      </c>
      <c r="J190" s="5">
        <f>IFNA(VLOOKUP(E190,Master!D:U,14,0),0)</f>
        <v>35000</v>
      </c>
      <c r="K190" s="5">
        <v>0.0</v>
      </c>
      <c r="L190" s="5">
        <f t="shared" si="3"/>
        <v>35000</v>
      </c>
      <c r="M190" s="5">
        <f>IFNA(VLOOKUP(TRIM(E190),Master!D:U,13,0),"")</f>
        <v>22000</v>
      </c>
      <c r="N190" s="5">
        <f t="shared" si="4"/>
        <v>13000</v>
      </c>
      <c r="O190" s="4" t="s">
        <v>19</v>
      </c>
      <c r="P190" s="5">
        <f t="shared" si="5"/>
        <v>37.14285714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3" t="s">
        <v>172</v>
      </c>
      <c r="B191" s="13" t="s">
        <v>178</v>
      </c>
      <c r="C191" s="14"/>
      <c r="D191" s="15">
        <v>1.0</v>
      </c>
      <c r="E191" s="1" t="s">
        <v>22</v>
      </c>
      <c r="F191" s="1" t="str">
        <f t="shared" si="1"/>
        <v>09/02/26MT2037</v>
      </c>
      <c r="G191" s="1" t="str">
        <f t="shared" si="2"/>
        <v>C09/02/26</v>
      </c>
      <c r="H191" s="1" t="str">
        <f>IFNA(VLOOKUP(TRIM(E191),Master!D:M,4,0),"")</f>
        <v>PUPUK KOMPOS 5KG</v>
      </c>
      <c r="I191" s="4">
        <v>1.0</v>
      </c>
      <c r="J191" s="5">
        <f>IFNA(VLOOKUP(E191,Master!D:U,14,0),0)</f>
        <v>10000</v>
      </c>
      <c r="K191" s="5">
        <v>0.0</v>
      </c>
      <c r="L191" s="5">
        <f t="shared" si="3"/>
        <v>10000</v>
      </c>
      <c r="M191" s="5">
        <f>IFNA(VLOOKUP(TRIM(E191),Master!D:U,13,0),"")</f>
        <v>5000</v>
      </c>
      <c r="N191" s="5">
        <f t="shared" si="4"/>
        <v>5000</v>
      </c>
      <c r="O191" s="4" t="s">
        <v>19</v>
      </c>
      <c r="P191" s="5">
        <f t="shared" si="5"/>
        <v>50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3" t="s">
        <v>172</v>
      </c>
      <c r="B192" s="2"/>
      <c r="C192" s="14"/>
      <c r="D192" s="3"/>
      <c r="E192" s="1" t="s">
        <v>58</v>
      </c>
      <c r="F192" s="1" t="str">
        <f t="shared" si="1"/>
        <v>09/02/26MT2041</v>
      </c>
      <c r="G192" s="1" t="str">
        <f t="shared" si="2"/>
        <v>C09/02/26</v>
      </c>
      <c r="H192" s="1" t="str">
        <f>IFNA(VLOOKUP(TRIM(E192),Master!D:M,4,0),"")</f>
        <v>SEKAM BAKAR 5KG</v>
      </c>
      <c r="I192" s="16">
        <v>2.0</v>
      </c>
      <c r="J192" s="5">
        <f>IFNA(VLOOKUP(E192,Master!D:U,14,0),0)</f>
        <v>8000</v>
      </c>
      <c r="K192" s="5">
        <v>0.0</v>
      </c>
      <c r="L192" s="5">
        <f t="shared" si="3"/>
        <v>16000</v>
      </c>
      <c r="M192" s="5">
        <f>IFNA(VLOOKUP(TRIM(E192),Master!D:U,13,0),"")</f>
        <v>3400</v>
      </c>
      <c r="N192" s="5">
        <f t="shared" si="4"/>
        <v>9200</v>
      </c>
      <c r="O192" s="4" t="s">
        <v>19</v>
      </c>
      <c r="P192" s="5">
        <f t="shared" si="5"/>
        <v>57.5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3" t="s">
        <v>172</v>
      </c>
      <c r="C193" s="14"/>
      <c r="D193" s="3"/>
      <c r="E193" s="1" t="s">
        <v>33</v>
      </c>
      <c r="F193" s="1" t="str">
        <f t="shared" si="1"/>
        <v>09/02/26PL3040</v>
      </c>
      <c r="G193" s="1" t="str">
        <f t="shared" si="2"/>
        <v>C09/02/26</v>
      </c>
      <c r="H193" s="1" t="str">
        <f>IFNA(VLOOKUP(TRIM(E193),Master!D:M,4,0),"")</f>
        <v>KAWAT BONSAI SILVER NO.1.5 ECERAN</v>
      </c>
      <c r="I193" s="16">
        <v>20.0</v>
      </c>
      <c r="J193" s="5">
        <f>IFNA(VLOOKUP(E193,Master!D:U,14,0),0)</f>
        <v>750</v>
      </c>
      <c r="K193" s="5">
        <v>0.0</v>
      </c>
      <c r="L193" s="5">
        <f t="shared" si="3"/>
        <v>15000</v>
      </c>
      <c r="M193" s="5">
        <f>IFNA(VLOOKUP(TRIM(E193),Master!D:U,13,0),"")</f>
        <v>444</v>
      </c>
      <c r="N193" s="5">
        <f t="shared" si="4"/>
        <v>6120</v>
      </c>
      <c r="O193" s="4" t="s">
        <v>19</v>
      </c>
      <c r="P193" s="5">
        <f t="shared" si="5"/>
        <v>40.8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3" t="s">
        <v>172</v>
      </c>
      <c r="B194" s="13" t="s">
        <v>179</v>
      </c>
      <c r="C194" s="14"/>
      <c r="D194" s="15">
        <v>1.0</v>
      </c>
      <c r="E194" s="1" t="s">
        <v>148</v>
      </c>
      <c r="F194" s="1" t="str">
        <f t="shared" si="1"/>
        <v>09/02/26PS4006</v>
      </c>
      <c r="G194" s="1" t="str">
        <f t="shared" si="2"/>
        <v>C09/02/26</v>
      </c>
      <c r="H194" s="1" t="str">
        <f>IFNA(VLOOKUP(TRIM(E194),Master!D:M,4,0),"")</f>
        <v>GRAMOXONE 250ML</v>
      </c>
      <c r="I194" s="4">
        <v>1.0</v>
      </c>
      <c r="J194" s="5">
        <f>IFNA(VLOOKUP(E194,Master!D:U,14,0),0)</f>
        <v>35000</v>
      </c>
      <c r="K194" s="5">
        <v>0.0</v>
      </c>
      <c r="L194" s="5">
        <f t="shared" si="3"/>
        <v>35000</v>
      </c>
      <c r="M194" s="5">
        <f>IFNA(VLOOKUP(TRIM(E194),Master!D:U,13,0),"")</f>
        <v>22000</v>
      </c>
      <c r="N194" s="5">
        <f t="shared" si="4"/>
        <v>13000</v>
      </c>
      <c r="O194" s="4" t="s">
        <v>19</v>
      </c>
      <c r="P194" s="5">
        <f t="shared" si="5"/>
        <v>37.14285714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3" t="s">
        <v>172</v>
      </c>
      <c r="B195" s="2"/>
      <c r="C195" s="14"/>
      <c r="D195" s="3"/>
      <c r="E195" s="1" t="s">
        <v>180</v>
      </c>
      <c r="F195" s="1" t="str">
        <f t="shared" si="1"/>
        <v>09/02/26PS4029</v>
      </c>
      <c r="G195" s="1" t="str">
        <f t="shared" si="2"/>
        <v>C09/02/26</v>
      </c>
      <c r="H195" s="1" t="str">
        <f>IFNA(VLOOKUP(TRIM(E195),Master!D:M,4,0),"")</f>
        <v>TERMIBAN 100ML</v>
      </c>
      <c r="I195" s="4">
        <v>1.0</v>
      </c>
      <c r="J195" s="5">
        <f>IFNA(VLOOKUP(E195,Master!D:U,14,0),0)</f>
        <v>35000</v>
      </c>
      <c r="K195" s="5">
        <v>0.0</v>
      </c>
      <c r="L195" s="5">
        <f t="shared" si="3"/>
        <v>35000</v>
      </c>
      <c r="M195" s="5">
        <f>IFNA(VLOOKUP(TRIM(E195),Master!D:U,13,0),"")</f>
        <v>25000</v>
      </c>
      <c r="N195" s="5">
        <f t="shared" si="4"/>
        <v>10000</v>
      </c>
      <c r="O195" s="4" t="s">
        <v>19</v>
      </c>
      <c r="P195" s="5">
        <f t="shared" si="5"/>
        <v>28.57142857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3" t="s">
        <v>172</v>
      </c>
      <c r="B196" s="13" t="s">
        <v>179</v>
      </c>
      <c r="C196" s="14"/>
      <c r="D196" s="15">
        <v>1.0</v>
      </c>
      <c r="E196" s="1" t="s">
        <v>181</v>
      </c>
      <c r="F196" s="1" t="str">
        <f t="shared" si="1"/>
        <v>09/02/26PL3109</v>
      </c>
      <c r="G196" s="1" t="str">
        <f t="shared" si="2"/>
        <v>C09/02/26</v>
      </c>
      <c r="H196" s="1" t="str">
        <f>IFNA(VLOOKUP(TRIM(E196),Master!D:M,4,0),"")</f>
        <v>POLYBAG 20</v>
      </c>
      <c r="I196" s="4">
        <v>1.0</v>
      </c>
      <c r="J196" s="5">
        <f>IFNA(VLOOKUP(E196,Master!D:U,14,0),0)</f>
        <v>5000</v>
      </c>
      <c r="K196" s="5">
        <v>0.0</v>
      </c>
      <c r="L196" s="5">
        <f t="shared" si="3"/>
        <v>5000</v>
      </c>
      <c r="M196" s="5">
        <f>IFNA(VLOOKUP(TRIM(E196),Master!D:U,13,0),"")</f>
        <v>3500</v>
      </c>
      <c r="N196" s="5">
        <f t="shared" si="4"/>
        <v>1500</v>
      </c>
      <c r="O196" s="4" t="s">
        <v>19</v>
      </c>
      <c r="P196" s="5">
        <f t="shared" si="5"/>
        <v>30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3" t="s">
        <v>172</v>
      </c>
      <c r="B197" s="13" t="s">
        <v>182</v>
      </c>
      <c r="C197" s="14"/>
      <c r="D197" s="15">
        <v>1.0</v>
      </c>
      <c r="E197" s="17" t="s">
        <v>66</v>
      </c>
      <c r="F197" s="1" t="str">
        <f t="shared" si="1"/>
        <v>09/02/26PL3038</v>
      </c>
      <c r="G197" s="1" t="str">
        <f t="shared" si="2"/>
        <v>O09/02/26</v>
      </c>
      <c r="H197" s="1" t="str">
        <f>IFNA(VLOOKUP(TRIM(E197),Master!D:M,4,0),"")</f>
        <v>KAWAT BONSAI SILVER NO.1 ECERAN</v>
      </c>
      <c r="I197" s="16">
        <v>10.0</v>
      </c>
      <c r="J197" s="5">
        <f>IFNA(VLOOKUP(E197,Master!D:U,14,0),0)</f>
        <v>500</v>
      </c>
      <c r="K197" s="5">
        <v>0.0</v>
      </c>
      <c r="L197" s="5">
        <f t="shared" si="3"/>
        <v>5000</v>
      </c>
      <c r="M197" s="5">
        <f>IFNA(VLOOKUP(TRIM(E197),Master!D:U,13,0),"")</f>
        <v>267</v>
      </c>
      <c r="N197" s="5">
        <f t="shared" si="4"/>
        <v>2330</v>
      </c>
      <c r="O197" s="16" t="s">
        <v>28</v>
      </c>
      <c r="P197" s="5">
        <f t="shared" si="5"/>
        <v>46.6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3" t="s">
        <v>172</v>
      </c>
      <c r="B198" s="2"/>
      <c r="C198" s="14"/>
      <c r="D198" s="3"/>
      <c r="E198" s="1" t="s">
        <v>33</v>
      </c>
      <c r="F198" s="1" t="str">
        <f t="shared" si="1"/>
        <v>09/02/26PL3040</v>
      </c>
      <c r="G198" s="1" t="str">
        <f t="shared" si="2"/>
        <v>O09/02/26</v>
      </c>
      <c r="H198" s="1" t="str">
        <f>IFNA(VLOOKUP(TRIM(E198),Master!D:M,4,0),"")</f>
        <v>KAWAT BONSAI SILVER NO.1.5 ECERAN</v>
      </c>
      <c r="I198" s="16">
        <v>5.0</v>
      </c>
      <c r="J198" s="5">
        <f>IFNA(VLOOKUP(E198,Master!D:U,14,0),0)</f>
        <v>750</v>
      </c>
      <c r="K198" s="5">
        <v>0.0</v>
      </c>
      <c r="L198" s="5">
        <f t="shared" si="3"/>
        <v>3750</v>
      </c>
      <c r="M198" s="5">
        <f>IFNA(VLOOKUP(TRIM(E198),Master!D:U,13,0),"")</f>
        <v>444</v>
      </c>
      <c r="N198" s="5">
        <f t="shared" si="4"/>
        <v>1530</v>
      </c>
      <c r="O198" s="16" t="s">
        <v>28</v>
      </c>
      <c r="P198" s="5">
        <f t="shared" si="5"/>
        <v>40.8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3" t="s">
        <v>172</v>
      </c>
      <c r="B199" s="2"/>
      <c r="C199" s="14"/>
      <c r="D199" s="3"/>
      <c r="E199" s="17" t="s">
        <v>183</v>
      </c>
      <c r="F199" s="1" t="str">
        <f t="shared" si="1"/>
        <v>09/02/26PL3046</v>
      </c>
      <c r="G199" s="1" t="str">
        <f t="shared" si="2"/>
        <v>O09/02/26</v>
      </c>
      <c r="H199" s="1" t="str">
        <f>IFNA(VLOOKUP(TRIM(E199),Master!D:M,4,0),"")</f>
        <v>KAWAT BONSAI SILVER NO.3 ECERAN</v>
      </c>
      <c r="I199" s="16">
        <v>2.0</v>
      </c>
      <c r="J199" s="5">
        <f>IFNA(VLOOKUP(E199,Master!D:U,14,0),0)</f>
        <v>3000</v>
      </c>
      <c r="K199" s="5">
        <v>0.0</v>
      </c>
      <c r="L199" s="5">
        <f t="shared" si="3"/>
        <v>6000</v>
      </c>
      <c r="M199" s="5">
        <f>IFNA(VLOOKUP(TRIM(E199),Master!D:U,13,0),"")</f>
        <v>2000</v>
      </c>
      <c r="N199" s="5">
        <f t="shared" si="4"/>
        <v>2000</v>
      </c>
      <c r="O199" s="16" t="s">
        <v>28</v>
      </c>
      <c r="P199" s="5">
        <f t="shared" si="5"/>
        <v>33.33333333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3" t="s">
        <v>172</v>
      </c>
      <c r="B200" s="2"/>
      <c r="C200" s="14"/>
      <c r="D200" s="3"/>
      <c r="E200" s="1" t="s">
        <v>37</v>
      </c>
      <c r="F200" s="1" t="str">
        <f t="shared" si="1"/>
        <v>09/02/26MT2050</v>
      </c>
      <c r="G200" s="1" t="str">
        <f t="shared" si="2"/>
        <v>O09/02/26</v>
      </c>
      <c r="H200" s="1" t="str">
        <f>IFNA(VLOOKUP(TRIM(E200),Master!D:M,4,0),"")</f>
        <v>TANAH SUBUR 10KG BINTANG TANI</v>
      </c>
      <c r="I200" s="16">
        <v>3.0</v>
      </c>
      <c r="J200" s="5">
        <f>IFNA(VLOOKUP(E200,Master!D:U,14,0),0)</f>
        <v>10000</v>
      </c>
      <c r="K200" s="5">
        <v>0.0</v>
      </c>
      <c r="L200" s="5">
        <f t="shared" si="3"/>
        <v>30000</v>
      </c>
      <c r="M200" s="5">
        <f>IFNA(VLOOKUP(TRIM(E200),Master!D:U,13,0),"")</f>
        <v>6000</v>
      </c>
      <c r="N200" s="5">
        <f t="shared" si="4"/>
        <v>12000</v>
      </c>
      <c r="O200" s="16" t="s">
        <v>28</v>
      </c>
      <c r="P200" s="5">
        <f t="shared" si="5"/>
        <v>40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3" t="s">
        <v>172</v>
      </c>
      <c r="B201" s="13" t="s">
        <v>184</v>
      </c>
      <c r="C201" s="14"/>
      <c r="D201" s="15">
        <v>1.0</v>
      </c>
      <c r="E201" s="1" t="s">
        <v>37</v>
      </c>
      <c r="F201" s="1" t="str">
        <f t="shared" si="1"/>
        <v>09/02/26MT2050</v>
      </c>
      <c r="G201" s="1" t="str">
        <f t="shared" si="2"/>
        <v>C09/02/26</v>
      </c>
      <c r="H201" s="1" t="str">
        <f>IFNA(VLOOKUP(TRIM(E201),Master!D:M,4,0),"")</f>
        <v>TANAH SUBUR 10KG BINTANG TANI</v>
      </c>
      <c r="I201" s="16">
        <v>2.0</v>
      </c>
      <c r="J201" s="5">
        <f>IFNA(VLOOKUP(E201,Master!D:U,14,0),0)</f>
        <v>10000</v>
      </c>
      <c r="K201" s="5">
        <v>0.0</v>
      </c>
      <c r="L201" s="5">
        <f t="shared" si="3"/>
        <v>20000</v>
      </c>
      <c r="M201" s="5">
        <f>IFNA(VLOOKUP(TRIM(E201),Master!D:U,13,0),"")</f>
        <v>6000</v>
      </c>
      <c r="N201" s="5">
        <f t="shared" si="4"/>
        <v>8000</v>
      </c>
      <c r="O201" s="4" t="s">
        <v>19</v>
      </c>
      <c r="P201" s="5">
        <f t="shared" si="5"/>
        <v>40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3" t="s">
        <v>172</v>
      </c>
      <c r="B202" s="13" t="s">
        <v>184</v>
      </c>
      <c r="C202" s="14"/>
      <c r="D202" s="15">
        <v>1.0</v>
      </c>
      <c r="E202" s="1" t="s">
        <v>37</v>
      </c>
      <c r="F202" s="1" t="str">
        <f t="shared" si="1"/>
        <v>09/02/26MT2050</v>
      </c>
      <c r="G202" s="1" t="str">
        <f t="shared" si="2"/>
        <v>C09/02/26</v>
      </c>
      <c r="H202" s="1" t="str">
        <f>IFNA(VLOOKUP(TRIM(E202),Master!D:M,4,0),"")</f>
        <v>TANAH SUBUR 10KG BINTANG TANI</v>
      </c>
      <c r="I202" s="4">
        <v>1.0</v>
      </c>
      <c r="J202" s="5">
        <f>IFNA(VLOOKUP(E202,Master!D:U,14,0),0)</f>
        <v>10000</v>
      </c>
      <c r="K202" s="5">
        <v>0.0</v>
      </c>
      <c r="L202" s="5">
        <f t="shared" si="3"/>
        <v>10000</v>
      </c>
      <c r="M202" s="5">
        <f>IFNA(VLOOKUP(TRIM(E202),Master!D:U,13,0),"")</f>
        <v>6000</v>
      </c>
      <c r="N202" s="5">
        <f t="shared" si="4"/>
        <v>4000</v>
      </c>
      <c r="O202" s="4" t="s">
        <v>19</v>
      </c>
      <c r="P202" s="5">
        <f t="shared" si="5"/>
        <v>40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3" t="s">
        <v>172</v>
      </c>
      <c r="B203" s="2"/>
      <c r="C203" s="14"/>
      <c r="D203" s="3"/>
      <c r="E203" s="1" t="s">
        <v>138</v>
      </c>
      <c r="F203" s="1" t="str">
        <f t="shared" si="1"/>
        <v>09/02/26MT2042</v>
      </c>
      <c r="G203" s="1" t="str">
        <f t="shared" si="2"/>
        <v>C09/02/26</v>
      </c>
      <c r="H203" s="1" t="str">
        <f>IFNA(VLOOKUP(TRIM(E203),Master!D:M,4,0),"")</f>
        <v>SEKAM FERMENTASI 10KG</v>
      </c>
      <c r="I203" s="4">
        <v>1.0</v>
      </c>
      <c r="J203" s="5">
        <f>IFNA(VLOOKUP(E203,Master!D:U,14,0),0)</f>
        <v>12000</v>
      </c>
      <c r="K203" s="5">
        <v>0.0</v>
      </c>
      <c r="L203" s="5">
        <f t="shared" si="3"/>
        <v>12000</v>
      </c>
      <c r="M203" s="5">
        <f>IFNA(VLOOKUP(TRIM(E203),Master!D:U,13,0),"")</f>
        <v>6000</v>
      </c>
      <c r="N203" s="5">
        <f t="shared" si="4"/>
        <v>6000</v>
      </c>
      <c r="O203" s="4" t="s">
        <v>19</v>
      </c>
      <c r="P203" s="5">
        <f t="shared" si="5"/>
        <v>50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3" t="s">
        <v>185</v>
      </c>
      <c r="B204" s="13" t="s">
        <v>65</v>
      </c>
      <c r="C204" s="14"/>
      <c r="D204" s="15">
        <v>1.0</v>
      </c>
      <c r="E204" s="1" t="s">
        <v>37</v>
      </c>
      <c r="F204" s="1" t="str">
        <f t="shared" si="1"/>
        <v>10/02/26MT2050</v>
      </c>
      <c r="G204" s="1" t="str">
        <f t="shared" si="2"/>
        <v>C10/02/26</v>
      </c>
      <c r="H204" s="1" t="str">
        <f>IFNA(VLOOKUP(TRIM(E204),Master!D:M,4,0),"")</f>
        <v>TANAH SUBUR 10KG BINTANG TANI</v>
      </c>
      <c r="I204" s="4">
        <v>1.0</v>
      </c>
      <c r="J204" s="5">
        <f>IFNA(VLOOKUP(E204,Master!D:U,14,0),0)</f>
        <v>10000</v>
      </c>
      <c r="K204" s="5">
        <v>0.0</v>
      </c>
      <c r="L204" s="5">
        <f t="shared" si="3"/>
        <v>10000</v>
      </c>
      <c r="M204" s="5">
        <f>IFNA(VLOOKUP(TRIM(E204),Master!D:U,13,0),"")</f>
        <v>6000</v>
      </c>
      <c r="N204" s="5">
        <f t="shared" si="4"/>
        <v>4000</v>
      </c>
      <c r="O204" s="4" t="s">
        <v>19</v>
      </c>
      <c r="P204" s="5">
        <f t="shared" si="5"/>
        <v>40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3" t="s">
        <v>185</v>
      </c>
      <c r="B205" s="2"/>
      <c r="C205" s="14"/>
      <c r="D205" s="3"/>
      <c r="E205" s="1" t="s">
        <v>186</v>
      </c>
      <c r="F205" s="1" t="str">
        <f t="shared" si="1"/>
        <v>10/02/26PL3158</v>
      </c>
      <c r="G205" s="1" t="str">
        <f t="shared" si="2"/>
        <v>C10/02/26</v>
      </c>
      <c r="H205" s="1" t="str">
        <f>IFNA(VLOOKUP(TRIM(E205),Master!D:M,4,0),"")</f>
        <v>POT GMP HITAM 17 POLOS</v>
      </c>
      <c r="I205" s="16">
        <v>2.0</v>
      </c>
      <c r="J205" s="5">
        <f>IFNA(VLOOKUP(E205,Master!D:U,14,0),0)</f>
        <v>2500</v>
      </c>
      <c r="K205" s="5">
        <v>0.0</v>
      </c>
      <c r="L205" s="5">
        <f t="shared" si="3"/>
        <v>5000</v>
      </c>
      <c r="M205" s="5">
        <f>IFNA(VLOOKUP(TRIM(E205),Master!D:U,13,0),"")</f>
        <v>1875</v>
      </c>
      <c r="N205" s="5">
        <f t="shared" si="4"/>
        <v>1250</v>
      </c>
      <c r="O205" s="4" t="s">
        <v>19</v>
      </c>
      <c r="P205" s="5">
        <f t="shared" si="5"/>
        <v>25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3" t="s">
        <v>185</v>
      </c>
      <c r="B206" s="13" t="s">
        <v>187</v>
      </c>
      <c r="C206" s="14"/>
      <c r="D206" s="15">
        <v>1.0</v>
      </c>
      <c r="E206" s="1" t="s">
        <v>22</v>
      </c>
      <c r="F206" s="1" t="str">
        <f t="shared" si="1"/>
        <v>10/02/26MT2037</v>
      </c>
      <c r="G206" s="1" t="str">
        <f t="shared" si="2"/>
        <v>I10/02/26</v>
      </c>
      <c r="H206" s="1" t="str">
        <f>IFNA(VLOOKUP(TRIM(E206),Master!D:M,4,0),"")</f>
        <v>PUPUK KOMPOS 5KG</v>
      </c>
      <c r="I206" s="16">
        <v>2.0</v>
      </c>
      <c r="J206" s="5">
        <f>IFNA(VLOOKUP(E206,Master!D:U,14,0),0)</f>
        <v>10000</v>
      </c>
      <c r="K206" s="5">
        <v>0.0</v>
      </c>
      <c r="L206" s="5">
        <f t="shared" si="3"/>
        <v>20000</v>
      </c>
      <c r="M206" s="5">
        <f>IFNA(VLOOKUP(TRIM(E206),Master!D:U,13,0),"")</f>
        <v>5000</v>
      </c>
      <c r="N206" s="5">
        <f t="shared" si="4"/>
        <v>10000</v>
      </c>
      <c r="O206" s="16" t="s">
        <v>23</v>
      </c>
      <c r="P206" s="5">
        <f t="shared" si="5"/>
        <v>50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3" t="s">
        <v>185</v>
      </c>
      <c r="B207" s="13" t="s">
        <v>188</v>
      </c>
      <c r="C207" s="14"/>
      <c r="D207" s="15">
        <v>1.0</v>
      </c>
      <c r="E207" s="1" t="s">
        <v>37</v>
      </c>
      <c r="F207" s="1" t="str">
        <f t="shared" si="1"/>
        <v>10/02/26MT2050</v>
      </c>
      <c r="G207" s="1" t="str">
        <f t="shared" si="2"/>
        <v>C10/02/26</v>
      </c>
      <c r="H207" s="1" t="str">
        <f>IFNA(VLOOKUP(TRIM(E207),Master!D:M,4,0),"")</f>
        <v>TANAH SUBUR 10KG BINTANG TANI</v>
      </c>
      <c r="I207" s="16">
        <v>2.0</v>
      </c>
      <c r="J207" s="5">
        <f>IFNA(VLOOKUP(E207,Master!D:U,14,0),0)</f>
        <v>10000</v>
      </c>
      <c r="K207" s="5">
        <v>0.0</v>
      </c>
      <c r="L207" s="5">
        <f t="shared" si="3"/>
        <v>20000</v>
      </c>
      <c r="M207" s="5">
        <f>IFNA(VLOOKUP(TRIM(E207),Master!D:U,13,0),"")</f>
        <v>6000</v>
      </c>
      <c r="N207" s="5">
        <f t="shared" si="4"/>
        <v>8000</v>
      </c>
      <c r="O207" s="4" t="s">
        <v>19</v>
      </c>
      <c r="P207" s="5">
        <f t="shared" si="5"/>
        <v>40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3" t="s">
        <v>185</v>
      </c>
      <c r="B208" s="2"/>
      <c r="C208" s="14"/>
      <c r="D208" s="3"/>
      <c r="E208" s="17" t="s">
        <v>189</v>
      </c>
      <c r="F208" s="1" t="str">
        <f t="shared" si="1"/>
        <v>10/02/26PL3163</v>
      </c>
      <c r="G208" s="1" t="str">
        <f t="shared" si="2"/>
        <v>C10/02/26</v>
      </c>
      <c r="H208" s="1" t="str">
        <f>IFNA(VLOOKUP(TRIM(E208),Master!D:M,4,0),"")</f>
        <v>POT GMP HITAM 30 POLOS</v>
      </c>
      <c r="I208" s="4">
        <v>1.0</v>
      </c>
      <c r="J208" s="5">
        <f>IFNA(VLOOKUP(E208,Master!D:U,14,0),0)</f>
        <v>8500</v>
      </c>
      <c r="K208" s="18">
        <v>500.0</v>
      </c>
      <c r="L208" s="5">
        <f t="shared" si="3"/>
        <v>8000</v>
      </c>
      <c r="M208" s="5">
        <f>IFNA(VLOOKUP(TRIM(E208),Master!D:U,13,0),"")</f>
        <v>6000</v>
      </c>
      <c r="N208" s="5">
        <f t="shared" si="4"/>
        <v>2000</v>
      </c>
      <c r="O208" s="4" t="s">
        <v>19</v>
      </c>
      <c r="P208" s="5">
        <f t="shared" si="5"/>
        <v>29.41176471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3" t="s">
        <v>185</v>
      </c>
      <c r="B209" s="13" t="s">
        <v>190</v>
      </c>
      <c r="C209" s="14"/>
      <c r="D209" s="15">
        <v>1.0</v>
      </c>
      <c r="E209" s="1" t="s">
        <v>22</v>
      </c>
      <c r="F209" s="1" t="str">
        <f t="shared" si="1"/>
        <v>10/02/26MT2037</v>
      </c>
      <c r="G209" s="1" t="str">
        <f t="shared" si="2"/>
        <v>C10/02/26</v>
      </c>
      <c r="H209" s="1" t="str">
        <f>IFNA(VLOOKUP(TRIM(E209),Master!D:M,4,0),"")</f>
        <v>PUPUK KOMPOS 5KG</v>
      </c>
      <c r="I209" s="16">
        <v>5.0</v>
      </c>
      <c r="J209" s="5">
        <f>IFNA(VLOOKUP(E209,Master!D:U,14,0),0)</f>
        <v>10000</v>
      </c>
      <c r="K209" s="5">
        <v>0.0</v>
      </c>
      <c r="L209" s="5">
        <f t="shared" si="3"/>
        <v>50000</v>
      </c>
      <c r="M209" s="5">
        <f>IFNA(VLOOKUP(TRIM(E209),Master!D:U,13,0),"")</f>
        <v>5000</v>
      </c>
      <c r="N209" s="5">
        <f t="shared" si="4"/>
        <v>25000</v>
      </c>
      <c r="O209" s="16" t="s">
        <v>19</v>
      </c>
      <c r="P209" s="5">
        <f t="shared" si="5"/>
        <v>50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3" t="s">
        <v>185</v>
      </c>
      <c r="B210" s="2"/>
      <c r="C210" s="14"/>
      <c r="D210" s="3"/>
      <c r="E210" s="1" t="s">
        <v>191</v>
      </c>
      <c r="F210" s="1" t="str">
        <f t="shared" si="1"/>
        <v>10/02/26PL3067</v>
      </c>
      <c r="G210" s="1" t="str">
        <f t="shared" si="2"/>
        <v>C10/02/26</v>
      </c>
      <c r="H210" s="1" t="str">
        <f>IFNA(VLOOKUP(TRIM(E210),Master!D:M,4,0),"")</f>
        <v>BIBIT HITAM</v>
      </c>
      <c r="I210" s="4">
        <v>1.0</v>
      </c>
      <c r="J210" s="5">
        <f>IFNA(VLOOKUP(E210,Master!D:U,14,0),0)</f>
        <v>10000</v>
      </c>
      <c r="K210" s="5">
        <v>0.0</v>
      </c>
      <c r="L210" s="5">
        <f t="shared" si="3"/>
        <v>10000</v>
      </c>
      <c r="M210" s="5">
        <f>IFNA(VLOOKUP(TRIM(E210),Master!D:U,13,0),"")</f>
        <v>4000</v>
      </c>
      <c r="N210" s="5">
        <f t="shared" si="4"/>
        <v>6000</v>
      </c>
      <c r="O210" s="4" t="s">
        <v>19</v>
      </c>
      <c r="P210" s="5">
        <f t="shared" si="5"/>
        <v>60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3" t="s">
        <v>185</v>
      </c>
      <c r="B211" s="13" t="s">
        <v>190</v>
      </c>
      <c r="C211" s="14"/>
      <c r="D211" s="15">
        <v>1.0</v>
      </c>
      <c r="E211" s="1" t="s">
        <v>34</v>
      </c>
      <c r="F211" s="1" t="str">
        <f t="shared" si="1"/>
        <v>10/02/26MT2053</v>
      </c>
      <c r="G211" s="1" t="str">
        <f t="shared" si="2"/>
        <v>C10/02/26</v>
      </c>
      <c r="H211" s="1" t="str">
        <f>IFNA(VLOOKUP(TRIM(E211),Master!D:M,4,0),"")</f>
        <v>TANAH SUBUR 25KG BINTANG TANI</v>
      </c>
      <c r="I211" s="4">
        <v>1.0</v>
      </c>
      <c r="J211" s="5">
        <f>IFNA(VLOOKUP(E211,Master!D:U,14,0),0)</f>
        <v>25000</v>
      </c>
      <c r="K211" s="5">
        <v>0.0</v>
      </c>
      <c r="L211" s="5">
        <f t="shared" si="3"/>
        <v>25000</v>
      </c>
      <c r="M211" s="5">
        <f>IFNA(VLOOKUP(TRIM(E211),Master!D:U,13,0),"")</f>
        <v>15000</v>
      </c>
      <c r="N211" s="5">
        <f t="shared" si="4"/>
        <v>10000</v>
      </c>
      <c r="O211" s="4" t="s">
        <v>19</v>
      </c>
      <c r="P211" s="5">
        <f t="shared" si="5"/>
        <v>40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3" t="s">
        <v>185</v>
      </c>
      <c r="B212" s="13" t="s">
        <v>192</v>
      </c>
      <c r="C212" s="14"/>
      <c r="D212" s="15">
        <v>1.0</v>
      </c>
      <c r="E212" s="1" t="s">
        <v>33</v>
      </c>
      <c r="F212" s="1" t="str">
        <f t="shared" si="1"/>
        <v>10/02/26PL3040</v>
      </c>
      <c r="G212" s="1" t="str">
        <f t="shared" si="2"/>
        <v>C10/02/26</v>
      </c>
      <c r="H212" s="1" t="str">
        <f>IFNA(VLOOKUP(TRIM(E212),Master!D:M,4,0),"")</f>
        <v>KAWAT BONSAI SILVER NO.1.5 ECERAN</v>
      </c>
      <c r="I212" s="16">
        <v>20.0</v>
      </c>
      <c r="J212" s="5">
        <f>IFNA(VLOOKUP(E212,Master!D:U,14,0),0)</f>
        <v>750</v>
      </c>
      <c r="K212" s="5">
        <v>0.0</v>
      </c>
      <c r="L212" s="5">
        <f t="shared" si="3"/>
        <v>15000</v>
      </c>
      <c r="M212" s="5">
        <f>IFNA(VLOOKUP(TRIM(E212),Master!D:U,13,0),"")</f>
        <v>444</v>
      </c>
      <c r="N212" s="5">
        <f t="shared" si="4"/>
        <v>6120</v>
      </c>
      <c r="O212" s="4" t="s">
        <v>19</v>
      </c>
      <c r="P212" s="5">
        <f t="shared" si="5"/>
        <v>40.8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3" t="s">
        <v>185</v>
      </c>
      <c r="B213" s="2"/>
      <c r="C213" s="14"/>
      <c r="D213" s="3"/>
      <c r="E213" s="1" t="s">
        <v>143</v>
      </c>
      <c r="F213" s="1" t="str">
        <f t="shared" si="1"/>
        <v>10/02/26PK5074</v>
      </c>
      <c r="G213" s="1" t="str">
        <f t="shared" si="2"/>
        <v>C10/02/26</v>
      </c>
      <c r="H213" s="1" t="str">
        <f>IFNA(VLOOKUP(TRIM(E213),Master!D:M,4,0),"")</f>
        <v>VITAMIN B1 HIJAU INFARM 100ML</v>
      </c>
      <c r="I213" s="4">
        <v>1.0</v>
      </c>
      <c r="J213" s="5">
        <f>IFNA(VLOOKUP(E213,Master!D:U,14,0),0)</f>
        <v>25000</v>
      </c>
      <c r="K213" s="5">
        <v>0.0</v>
      </c>
      <c r="L213" s="5">
        <f t="shared" si="3"/>
        <v>25000</v>
      </c>
      <c r="M213" s="5" t="str">
        <f>IFNA(VLOOKUP(TRIM(E213),Master!D:U,13,0),"")</f>
        <v/>
      </c>
      <c r="N213" s="5">
        <f t="shared" si="4"/>
        <v>25000</v>
      </c>
      <c r="O213" s="4" t="s">
        <v>19</v>
      </c>
      <c r="P213" s="5">
        <f t="shared" si="5"/>
        <v>100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3" t="s">
        <v>185</v>
      </c>
      <c r="B214" s="13" t="s">
        <v>192</v>
      </c>
      <c r="C214" s="14"/>
      <c r="D214" s="15">
        <v>1.0</v>
      </c>
      <c r="E214" s="1" t="s">
        <v>193</v>
      </c>
      <c r="F214" s="1" t="str">
        <f t="shared" si="1"/>
        <v>10/02/26PK5026</v>
      </c>
      <c r="G214" s="1" t="str">
        <f t="shared" si="2"/>
        <v>C10/02/26</v>
      </c>
      <c r="H214" s="1" t="str">
        <f>IFNA(VLOOKUP(TRIM(E214),Master!D:M,4,0),"")</f>
        <v>MKP PAK TANI 1KG</v>
      </c>
      <c r="I214" s="4">
        <v>1.0</v>
      </c>
      <c r="J214" s="5">
        <f>IFNA(VLOOKUP(E214,Master!D:U,14,0),0)</f>
        <v>60000</v>
      </c>
      <c r="K214" s="5">
        <v>0.0</v>
      </c>
      <c r="L214" s="5">
        <f t="shared" si="3"/>
        <v>60000</v>
      </c>
      <c r="M214" s="5">
        <f>IFNA(VLOOKUP(TRIM(E214),Master!D:U,13,0),"")</f>
        <v>51000</v>
      </c>
      <c r="N214" s="5">
        <f t="shared" si="4"/>
        <v>9000</v>
      </c>
      <c r="O214" s="4" t="s">
        <v>19</v>
      </c>
      <c r="P214" s="5">
        <f t="shared" si="5"/>
        <v>15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3" t="s">
        <v>185</v>
      </c>
      <c r="B215" s="13" t="s">
        <v>194</v>
      </c>
      <c r="C215" s="14"/>
      <c r="D215" s="15">
        <v>1.0</v>
      </c>
      <c r="E215" s="1" t="s">
        <v>87</v>
      </c>
      <c r="F215" s="1" t="str">
        <f t="shared" si="1"/>
        <v>10/02/26PK5052</v>
      </c>
      <c r="G215" s="1" t="str">
        <f t="shared" si="2"/>
        <v>C10/02/26</v>
      </c>
      <c r="H215" s="1" t="str">
        <f>IFNA(VLOOKUP(TRIM(E215),Master!D:M,4,0),"")</f>
        <v>PUPUK NPK 161616 PAK TANI</v>
      </c>
      <c r="I215" s="4">
        <v>1.0</v>
      </c>
      <c r="J215" s="5">
        <f>IFNA(VLOOKUP(E215,Master!D:U,14,0),0)</f>
        <v>25000</v>
      </c>
      <c r="K215" s="5">
        <v>0.0</v>
      </c>
      <c r="L215" s="5">
        <f t="shared" si="3"/>
        <v>25000</v>
      </c>
      <c r="M215" s="5">
        <f>IFNA(VLOOKUP(TRIM(E215),Master!D:U,13,0),"")</f>
        <v>17050</v>
      </c>
      <c r="N215" s="5">
        <f t="shared" si="4"/>
        <v>7950</v>
      </c>
      <c r="O215" s="16" t="s">
        <v>19</v>
      </c>
      <c r="P215" s="5">
        <f t="shared" si="5"/>
        <v>31.8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3" t="s">
        <v>185</v>
      </c>
      <c r="B216" s="2"/>
      <c r="C216" s="14"/>
      <c r="D216" s="3"/>
      <c r="E216" s="17" t="s">
        <v>195</v>
      </c>
      <c r="F216" s="1" t="str">
        <f t="shared" si="1"/>
        <v>10/02/26PK5054</v>
      </c>
      <c r="G216" s="1" t="str">
        <f t="shared" si="2"/>
        <v>C10/02/26</v>
      </c>
      <c r="H216" s="1" t="str">
        <f>IFNA(VLOOKUP(TRIM(E216),Master!D:M,4,0),"")</f>
        <v>PUPUK NPK MUTIARA GROWER 150920TE 1KG</v>
      </c>
      <c r="I216" s="4">
        <v>1.0</v>
      </c>
      <c r="J216" s="5">
        <f>IFNA(VLOOKUP(E216,Master!D:U,14,0),0)</f>
        <v>25000</v>
      </c>
      <c r="K216" s="5">
        <v>0.0</v>
      </c>
      <c r="L216" s="5">
        <f t="shared" si="3"/>
        <v>25000</v>
      </c>
      <c r="M216" s="5">
        <f>IFNA(VLOOKUP(TRIM(E216),Master!D:U,13,0),"")</f>
        <v>20000</v>
      </c>
      <c r="N216" s="5">
        <f t="shared" si="4"/>
        <v>5000</v>
      </c>
      <c r="O216" s="4" t="s">
        <v>19</v>
      </c>
      <c r="P216" s="5">
        <f t="shared" si="5"/>
        <v>20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3" t="s">
        <v>185</v>
      </c>
      <c r="B217" s="13" t="s">
        <v>196</v>
      </c>
      <c r="C217" s="14"/>
      <c r="D217" s="15">
        <v>1.0</v>
      </c>
      <c r="E217" s="1" t="s">
        <v>37</v>
      </c>
      <c r="F217" s="1" t="str">
        <f t="shared" si="1"/>
        <v>10/02/26MT2050</v>
      </c>
      <c r="G217" s="1" t="str">
        <f t="shared" si="2"/>
        <v>C10/02/26</v>
      </c>
      <c r="H217" s="1" t="str">
        <f>IFNA(VLOOKUP(TRIM(E217),Master!D:M,4,0),"")</f>
        <v>TANAH SUBUR 10KG BINTANG TANI</v>
      </c>
      <c r="I217" s="16">
        <v>2.0</v>
      </c>
      <c r="J217" s="5">
        <f>IFNA(VLOOKUP(E217,Master!D:U,14,0),0)</f>
        <v>10000</v>
      </c>
      <c r="K217" s="5">
        <v>0.0</v>
      </c>
      <c r="L217" s="5">
        <f t="shared" si="3"/>
        <v>20000</v>
      </c>
      <c r="M217" s="5">
        <f>IFNA(VLOOKUP(TRIM(E217),Master!D:U,13,0),"")</f>
        <v>6000</v>
      </c>
      <c r="N217" s="5">
        <f t="shared" si="4"/>
        <v>8000</v>
      </c>
      <c r="O217" s="4" t="s">
        <v>19</v>
      </c>
      <c r="P217" s="5">
        <f t="shared" si="5"/>
        <v>40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3" t="s">
        <v>185</v>
      </c>
      <c r="B218" s="2"/>
      <c r="C218" s="14"/>
      <c r="D218" s="3"/>
      <c r="E218" s="1" t="s">
        <v>91</v>
      </c>
      <c r="F218" s="1" t="str">
        <f t="shared" si="1"/>
        <v>10/02/26PK5048</v>
      </c>
      <c r="G218" s="1" t="str">
        <f t="shared" si="2"/>
        <v>C10/02/26</v>
      </c>
      <c r="H218" s="1" t="str">
        <f>IFNA(VLOOKUP(TRIM(E218),Master!D:M,4,0),"")</f>
        <v>PUPUK MUTIARA 161616 100GR RPK</v>
      </c>
      <c r="I218" s="4">
        <v>1.0</v>
      </c>
      <c r="J218" s="5">
        <f>IFNA(VLOOKUP(E218,Master!D:U,14,0),0)</f>
        <v>3000</v>
      </c>
      <c r="K218" s="18">
        <v>-2000.0</v>
      </c>
      <c r="L218" s="5">
        <f t="shared" si="3"/>
        <v>5000</v>
      </c>
      <c r="M218" s="5">
        <f>IFNA(VLOOKUP(TRIM(E218),Master!D:U,13,0),"")</f>
        <v>1900</v>
      </c>
      <c r="N218" s="5">
        <f t="shared" si="4"/>
        <v>3100</v>
      </c>
      <c r="O218" s="4" t="s">
        <v>19</v>
      </c>
      <c r="P218" s="5">
        <f t="shared" si="5"/>
        <v>36.66666667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3" t="s">
        <v>185</v>
      </c>
      <c r="B219" s="13" t="s">
        <v>197</v>
      </c>
      <c r="C219" s="14"/>
      <c r="D219" s="15">
        <v>1.0</v>
      </c>
      <c r="E219" s="1" t="s">
        <v>37</v>
      </c>
      <c r="F219" s="1" t="str">
        <f t="shared" si="1"/>
        <v>10/02/26MT2050</v>
      </c>
      <c r="G219" s="1" t="str">
        <f t="shared" si="2"/>
        <v>C10/02/26</v>
      </c>
      <c r="H219" s="1" t="str">
        <f>IFNA(VLOOKUP(TRIM(E219),Master!D:M,4,0),"")</f>
        <v>TANAH SUBUR 10KG BINTANG TANI</v>
      </c>
      <c r="I219" s="4">
        <v>1.0</v>
      </c>
      <c r="J219" s="5">
        <f>IFNA(VLOOKUP(E219,Master!D:U,14,0),0)</f>
        <v>10000</v>
      </c>
      <c r="K219" s="5">
        <v>0.0</v>
      </c>
      <c r="L219" s="5">
        <f t="shared" si="3"/>
        <v>10000</v>
      </c>
      <c r="M219" s="5">
        <f>IFNA(VLOOKUP(TRIM(E219),Master!D:U,13,0),"")</f>
        <v>6000</v>
      </c>
      <c r="N219" s="5">
        <f t="shared" si="4"/>
        <v>4000</v>
      </c>
      <c r="O219" s="4" t="s">
        <v>19</v>
      </c>
      <c r="P219" s="5">
        <f t="shared" si="5"/>
        <v>40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3" t="s">
        <v>185</v>
      </c>
      <c r="B220" s="2"/>
      <c r="C220" s="14"/>
      <c r="D220" s="3"/>
      <c r="E220" s="1" t="s">
        <v>198</v>
      </c>
      <c r="F220" s="1" t="str">
        <f t="shared" si="1"/>
        <v>10/02/26PL3179</v>
      </c>
      <c r="G220" s="1" t="str">
        <f t="shared" si="2"/>
        <v>C10/02/26</v>
      </c>
      <c r="H220" s="1" t="str">
        <f>IFNA(VLOOKUP(TRIM(E220),Master!D:M,4,0),"")</f>
        <v>POT LECI 35 HITAM</v>
      </c>
      <c r="I220" s="4">
        <v>1.0</v>
      </c>
      <c r="J220" s="5">
        <f>IFNA(VLOOKUP(E220,Master!D:U,14,0),0)</f>
        <v>20000</v>
      </c>
      <c r="K220" s="5">
        <v>0.0</v>
      </c>
      <c r="L220" s="5">
        <f t="shared" si="3"/>
        <v>20000</v>
      </c>
      <c r="M220" s="5">
        <f>IFNA(VLOOKUP(TRIM(E220),Master!D:U,13,0),"")</f>
        <v>14750</v>
      </c>
      <c r="N220" s="5">
        <f t="shared" si="4"/>
        <v>5250</v>
      </c>
      <c r="O220" s="4" t="s">
        <v>19</v>
      </c>
      <c r="P220" s="5">
        <f t="shared" si="5"/>
        <v>26.25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3" t="s">
        <v>185</v>
      </c>
      <c r="B221" s="2"/>
      <c r="C221" s="14"/>
      <c r="D221" s="3"/>
      <c r="E221" s="1" t="s">
        <v>199</v>
      </c>
      <c r="F221" s="1" t="str">
        <f t="shared" si="1"/>
        <v>10/02/26PL3119</v>
      </c>
      <c r="G221" s="1" t="str">
        <f t="shared" si="2"/>
        <v>C10/02/26</v>
      </c>
      <c r="H221" s="1" t="str">
        <f>IFNA(VLOOKUP(TRIM(E221),Master!D:M,4,0),"")</f>
        <v>TURUS 60CM</v>
      </c>
      <c r="I221" s="4">
        <v>1.0</v>
      </c>
      <c r="J221" s="18">
        <v>18000.0</v>
      </c>
      <c r="K221" s="5">
        <v>0.0</v>
      </c>
      <c r="L221" s="5">
        <f t="shared" si="3"/>
        <v>18000</v>
      </c>
      <c r="M221" s="5">
        <f>IFNA(VLOOKUP(TRIM(E221),Master!D:U,13,0),"")</f>
        <v>12500</v>
      </c>
      <c r="N221" s="5">
        <f t="shared" si="4"/>
        <v>5500</v>
      </c>
      <c r="O221" s="16" t="s">
        <v>19</v>
      </c>
      <c r="P221" s="5">
        <f t="shared" si="5"/>
        <v>30.55555556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3" t="s">
        <v>185</v>
      </c>
      <c r="B222" s="13" t="s">
        <v>200</v>
      </c>
      <c r="C222" s="14"/>
      <c r="D222" s="15">
        <v>1.0</v>
      </c>
      <c r="E222" s="1" t="s">
        <v>34</v>
      </c>
      <c r="F222" s="1" t="str">
        <f t="shared" si="1"/>
        <v>10/02/26MT2053</v>
      </c>
      <c r="G222" s="1" t="str">
        <f t="shared" si="2"/>
        <v>T10/02/26</v>
      </c>
      <c r="H222" s="1" t="str">
        <f>IFNA(VLOOKUP(TRIM(E222),Master!D:M,4,0),"")</f>
        <v>TANAH SUBUR 25KG BINTANG TANI</v>
      </c>
      <c r="I222" s="4">
        <v>1.0</v>
      </c>
      <c r="J222" s="5">
        <f>IFNA(VLOOKUP(E222,Master!D:U,14,0),0)</f>
        <v>25000</v>
      </c>
      <c r="K222" s="5">
        <v>0.0</v>
      </c>
      <c r="L222" s="5">
        <f t="shared" si="3"/>
        <v>25000</v>
      </c>
      <c r="M222" s="5">
        <f>IFNA(VLOOKUP(TRIM(E222),Master!D:U,13,0),"")</f>
        <v>15000</v>
      </c>
      <c r="N222" s="5">
        <f t="shared" si="4"/>
        <v>10000</v>
      </c>
      <c r="O222" s="16" t="s">
        <v>77</v>
      </c>
      <c r="P222" s="5">
        <f t="shared" si="5"/>
        <v>40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3" t="s">
        <v>185</v>
      </c>
      <c r="B223" s="2"/>
      <c r="C223" s="14"/>
      <c r="D223" s="3"/>
      <c r="E223" s="1" t="s">
        <v>199</v>
      </c>
      <c r="F223" s="1" t="str">
        <f t="shared" si="1"/>
        <v>10/02/26PL3119</v>
      </c>
      <c r="G223" s="1" t="str">
        <f t="shared" si="2"/>
        <v>T10/02/26</v>
      </c>
      <c r="H223" s="1" t="str">
        <f>IFNA(VLOOKUP(TRIM(E223),Master!D:M,4,0),"")</f>
        <v>TURUS 60CM</v>
      </c>
      <c r="I223" s="16">
        <v>2.0</v>
      </c>
      <c r="J223" s="18">
        <v>18000.0</v>
      </c>
      <c r="K223" s="5">
        <v>0.0</v>
      </c>
      <c r="L223" s="5">
        <f t="shared" si="3"/>
        <v>36000</v>
      </c>
      <c r="M223" s="5">
        <f>IFNA(VLOOKUP(TRIM(E223),Master!D:U,13,0),"")</f>
        <v>12500</v>
      </c>
      <c r="N223" s="5">
        <f t="shared" si="4"/>
        <v>11000</v>
      </c>
      <c r="O223" s="16" t="s">
        <v>77</v>
      </c>
      <c r="P223" s="5">
        <f t="shared" si="5"/>
        <v>30.55555556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3" t="s">
        <v>185</v>
      </c>
      <c r="B224" s="2"/>
      <c r="C224" s="14"/>
      <c r="D224" s="3"/>
      <c r="E224" s="1" t="s">
        <v>149</v>
      </c>
      <c r="F224" s="1" t="str">
        <f t="shared" si="1"/>
        <v>10/02/26PL3165</v>
      </c>
      <c r="G224" s="1" t="str">
        <f t="shared" si="2"/>
        <v>T10/02/26</v>
      </c>
      <c r="H224" s="1" t="str">
        <f>IFNA(VLOOKUP(TRIM(E224),Master!D:M,4,0),"")</f>
        <v>POT GMP HITAM 40 POLOS</v>
      </c>
      <c r="I224" s="16">
        <v>4.0</v>
      </c>
      <c r="J224" s="5">
        <f>IFNA(VLOOKUP(E224,Master!D:U,14,0),0)</f>
        <v>17500</v>
      </c>
      <c r="K224" s="5">
        <v>0.0</v>
      </c>
      <c r="L224" s="5">
        <f t="shared" si="3"/>
        <v>70000</v>
      </c>
      <c r="M224" s="5">
        <f>IFNA(VLOOKUP(TRIM(E224),Master!D:U,13,0),"")</f>
        <v>14000</v>
      </c>
      <c r="N224" s="5">
        <f t="shared" si="4"/>
        <v>14000</v>
      </c>
      <c r="O224" s="16" t="s">
        <v>77</v>
      </c>
      <c r="P224" s="5">
        <f t="shared" si="5"/>
        <v>20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3" t="s">
        <v>185</v>
      </c>
      <c r="B225" s="2"/>
      <c r="C225" s="14"/>
      <c r="D225" s="3"/>
      <c r="E225" s="1" t="s">
        <v>201</v>
      </c>
      <c r="F225" s="1" t="str">
        <f t="shared" si="1"/>
        <v>10/02/26PS4020</v>
      </c>
      <c r="G225" s="1" t="str">
        <f t="shared" si="2"/>
        <v>C10/02/26</v>
      </c>
      <c r="H225" s="1" t="str">
        <f>IFNA(VLOOKUP(TRIM(E225),Master!D:M,4,0),"")</f>
        <v>KALIANDRA 50ML</v>
      </c>
      <c r="I225" s="4">
        <v>1.0</v>
      </c>
      <c r="J225" s="5">
        <f>IFNA(VLOOKUP(E225,Master!D:U,14,0),0)</f>
        <v>35000</v>
      </c>
      <c r="K225" s="5">
        <v>0.0</v>
      </c>
      <c r="L225" s="5">
        <f t="shared" si="3"/>
        <v>35000</v>
      </c>
      <c r="M225" s="5">
        <f>IFNA(VLOOKUP(TRIM(E225),Master!D:U,13,0),"")</f>
        <v>27000</v>
      </c>
      <c r="N225" s="5">
        <f t="shared" si="4"/>
        <v>8000</v>
      </c>
      <c r="O225" s="4" t="s">
        <v>19</v>
      </c>
      <c r="P225" s="5">
        <f t="shared" si="5"/>
        <v>22.85714286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3" t="s">
        <v>185</v>
      </c>
      <c r="B226" s="13" t="s">
        <v>202</v>
      </c>
      <c r="C226" s="14"/>
      <c r="D226" s="15">
        <v>1.0</v>
      </c>
      <c r="E226" s="1" t="s">
        <v>33</v>
      </c>
      <c r="F226" s="1" t="str">
        <f t="shared" si="1"/>
        <v>10/02/26PL3040</v>
      </c>
      <c r="G226" s="1" t="str">
        <f t="shared" si="2"/>
        <v>O10/02/26</v>
      </c>
      <c r="H226" s="1" t="str">
        <f>IFNA(VLOOKUP(TRIM(E226),Master!D:M,4,0),"")</f>
        <v>KAWAT BONSAI SILVER NO.1.5 ECERAN</v>
      </c>
      <c r="I226" s="16">
        <v>15.0</v>
      </c>
      <c r="J226" s="5">
        <f>IFNA(VLOOKUP(E226,Master!D:U,14,0),0)</f>
        <v>750</v>
      </c>
      <c r="K226" s="5">
        <v>0.0</v>
      </c>
      <c r="L226" s="5">
        <f t="shared" si="3"/>
        <v>11250</v>
      </c>
      <c r="M226" s="5">
        <f>IFNA(VLOOKUP(TRIM(E226),Master!D:U,13,0),"")</f>
        <v>444</v>
      </c>
      <c r="N226" s="5">
        <f t="shared" si="4"/>
        <v>4590</v>
      </c>
      <c r="O226" s="16" t="s">
        <v>28</v>
      </c>
      <c r="P226" s="5">
        <f t="shared" si="5"/>
        <v>40.8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3" t="s">
        <v>185</v>
      </c>
      <c r="B227" s="2"/>
      <c r="C227" s="14"/>
      <c r="D227" s="3"/>
      <c r="E227" s="1" t="s">
        <v>33</v>
      </c>
      <c r="F227" s="1" t="str">
        <f t="shared" si="1"/>
        <v>10/02/26PL3040</v>
      </c>
      <c r="G227" s="1" t="str">
        <f t="shared" si="2"/>
        <v>O10/02/26</v>
      </c>
      <c r="H227" s="1" t="str">
        <f>IFNA(VLOOKUP(TRIM(E227),Master!D:M,4,0),"")</f>
        <v>KAWAT BONSAI SILVER NO.1.5 ECERAN</v>
      </c>
      <c r="I227" s="16">
        <v>5.0</v>
      </c>
      <c r="J227" s="5">
        <f>IFNA(VLOOKUP(E227,Master!D:U,14,0),0)</f>
        <v>750</v>
      </c>
      <c r="K227" s="5">
        <v>0.0</v>
      </c>
      <c r="L227" s="5">
        <f t="shared" si="3"/>
        <v>3750</v>
      </c>
      <c r="M227" s="5">
        <f>IFNA(VLOOKUP(TRIM(E227),Master!D:U,13,0),"")</f>
        <v>444</v>
      </c>
      <c r="N227" s="5">
        <f t="shared" si="4"/>
        <v>1530</v>
      </c>
      <c r="O227" s="16" t="s">
        <v>28</v>
      </c>
      <c r="P227" s="5">
        <f t="shared" si="5"/>
        <v>40.8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3" t="s">
        <v>185</v>
      </c>
      <c r="B228" s="2"/>
      <c r="C228" s="14"/>
      <c r="D228" s="3"/>
      <c r="E228" s="1" t="s">
        <v>33</v>
      </c>
      <c r="F228" s="1" t="str">
        <f t="shared" si="1"/>
        <v>10/02/26PL3040</v>
      </c>
      <c r="G228" s="1" t="str">
        <f t="shared" si="2"/>
        <v>O10/02/26</v>
      </c>
      <c r="H228" s="1" t="str">
        <f>IFNA(VLOOKUP(TRIM(E228),Master!D:M,4,0),"")</f>
        <v>KAWAT BONSAI SILVER NO.1.5 ECERAN</v>
      </c>
      <c r="I228" s="16">
        <v>10.0</v>
      </c>
      <c r="J228" s="5">
        <f>IFNA(VLOOKUP(E228,Master!D:U,14,0),0)</f>
        <v>750</v>
      </c>
      <c r="K228" s="5">
        <v>0.0</v>
      </c>
      <c r="L228" s="5">
        <f t="shared" si="3"/>
        <v>7500</v>
      </c>
      <c r="M228" s="5">
        <f>IFNA(VLOOKUP(TRIM(E228),Master!D:U,13,0),"")</f>
        <v>444</v>
      </c>
      <c r="N228" s="5">
        <f t="shared" si="4"/>
        <v>3060</v>
      </c>
      <c r="O228" s="16" t="s">
        <v>28</v>
      </c>
      <c r="P228" s="5">
        <f t="shared" si="5"/>
        <v>40.8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3" t="s">
        <v>185</v>
      </c>
      <c r="B229" s="2"/>
      <c r="C229" s="14"/>
      <c r="D229" s="3"/>
      <c r="E229" s="17" t="s">
        <v>66</v>
      </c>
      <c r="F229" s="1" t="str">
        <f t="shared" si="1"/>
        <v>10/02/26PL3038</v>
      </c>
      <c r="G229" s="1" t="str">
        <f t="shared" si="2"/>
        <v>O10/02/26</v>
      </c>
      <c r="H229" s="1" t="str">
        <f>IFNA(VLOOKUP(TRIM(E229),Master!D:M,4,0),"")</f>
        <v>KAWAT BONSAI SILVER NO.1 ECERAN</v>
      </c>
      <c r="I229" s="16">
        <v>10.0</v>
      </c>
      <c r="J229" s="5">
        <f>IFNA(VLOOKUP(E229,Master!D:U,14,0),0)</f>
        <v>500</v>
      </c>
      <c r="K229" s="5">
        <v>0.0</v>
      </c>
      <c r="L229" s="5">
        <f t="shared" si="3"/>
        <v>5000</v>
      </c>
      <c r="M229" s="5">
        <f>IFNA(VLOOKUP(TRIM(E229),Master!D:U,13,0),"")</f>
        <v>267</v>
      </c>
      <c r="N229" s="5">
        <f t="shared" si="4"/>
        <v>2330</v>
      </c>
      <c r="O229" s="16" t="s">
        <v>28</v>
      </c>
      <c r="P229" s="5">
        <f t="shared" si="5"/>
        <v>46.6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3" t="s">
        <v>185</v>
      </c>
      <c r="B230" s="2"/>
      <c r="C230" s="14"/>
      <c r="D230" s="3"/>
      <c r="E230" s="17" t="s">
        <v>42</v>
      </c>
      <c r="F230" s="1" t="str">
        <f t="shared" si="1"/>
        <v>10/02/26PL3042</v>
      </c>
      <c r="G230" s="1" t="str">
        <f t="shared" si="2"/>
        <v>O10/02/26</v>
      </c>
      <c r="H230" s="1" t="str">
        <f>IFNA(VLOOKUP(TRIM(E230),Master!D:M,4,0),"")</f>
        <v>KAWAT BONSAI SILVER NO.2 ECERAN</v>
      </c>
      <c r="I230" s="16">
        <v>10.0</v>
      </c>
      <c r="J230" s="5">
        <f>IFNA(VLOOKUP(E230,Master!D:U,14,0),0)</f>
        <v>1500</v>
      </c>
      <c r="K230" s="5">
        <v>0.0</v>
      </c>
      <c r="L230" s="5">
        <f t="shared" si="3"/>
        <v>15000</v>
      </c>
      <c r="M230" s="5">
        <f>IFNA(VLOOKUP(TRIM(E230),Master!D:U,13,0),"")</f>
        <v>800</v>
      </c>
      <c r="N230" s="5">
        <f t="shared" si="4"/>
        <v>7000</v>
      </c>
      <c r="O230" s="16" t="s">
        <v>28</v>
      </c>
      <c r="P230" s="5">
        <f t="shared" si="5"/>
        <v>46.66666667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3" t="s">
        <v>185</v>
      </c>
      <c r="B231" s="2"/>
      <c r="C231" s="14"/>
      <c r="D231" s="3"/>
      <c r="E231" s="17" t="s">
        <v>183</v>
      </c>
      <c r="F231" s="1" t="str">
        <f t="shared" si="1"/>
        <v>10/02/26PL3046</v>
      </c>
      <c r="G231" s="1" t="str">
        <f t="shared" si="2"/>
        <v>O10/02/26</v>
      </c>
      <c r="H231" s="1" t="str">
        <f>IFNA(VLOOKUP(TRIM(E231),Master!D:M,4,0),"")</f>
        <v>KAWAT BONSAI SILVER NO.3 ECERAN</v>
      </c>
      <c r="I231" s="16">
        <v>5.0</v>
      </c>
      <c r="J231" s="5">
        <f>IFNA(VLOOKUP(E231,Master!D:U,14,0),0)</f>
        <v>3000</v>
      </c>
      <c r="K231" s="5">
        <v>0.0</v>
      </c>
      <c r="L231" s="5">
        <f t="shared" si="3"/>
        <v>15000</v>
      </c>
      <c r="M231" s="5">
        <f>IFNA(VLOOKUP(TRIM(E231),Master!D:U,13,0),"")</f>
        <v>2000</v>
      </c>
      <c r="N231" s="5">
        <f t="shared" si="4"/>
        <v>5000</v>
      </c>
      <c r="O231" s="16" t="s">
        <v>28</v>
      </c>
      <c r="P231" s="5">
        <f t="shared" si="5"/>
        <v>33.33333333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3" t="s">
        <v>203</v>
      </c>
      <c r="B232" s="13" t="s">
        <v>204</v>
      </c>
      <c r="C232" s="14"/>
      <c r="D232" s="15">
        <v>1.0</v>
      </c>
      <c r="E232" s="1" t="s">
        <v>37</v>
      </c>
      <c r="F232" s="1" t="str">
        <f t="shared" si="1"/>
        <v>11/02/26MT2050</v>
      </c>
      <c r="G232" s="1" t="str">
        <f t="shared" si="2"/>
        <v>C11/02/26</v>
      </c>
      <c r="H232" s="1" t="str">
        <f>IFNA(VLOOKUP(TRIM(E232),Master!D:M,4,0),"")</f>
        <v>TANAH SUBUR 10KG BINTANG TANI</v>
      </c>
      <c r="I232" s="16">
        <v>2.0</v>
      </c>
      <c r="J232" s="5">
        <f>IFNA(VLOOKUP(E232,Master!D:U,14,0),0)</f>
        <v>10000</v>
      </c>
      <c r="K232" s="5">
        <v>0.0</v>
      </c>
      <c r="L232" s="5">
        <f t="shared" si="3"/>
        <v>20000</v>
      </c>
      <c r="M232" s="5">
        <f>IFNA(VLOOKUP(TRIM(E232),Master!D:U,13,0),"")</f>
        <v>6000</v>
      </c>
      <c r="N232" s="5">
        <f t="shared" si="4"/>
        <v>8000</v>
      </c>
      <c r="O232" s="4" t="s">
        <v>19</v>
      </c>
      <c r="P232" s="5">
        <f t="shared" si="5"/>
        <v>40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3" t="s">
        <v>203</v>
      </c>
      <c r="B233" s="13" t="s">
        <v>205</v>
      </c>
      <c r="C233" s="14"/>
      <c r="D233" s="15">
        <v>1.0</v>
      </c>
      <c r="E233" s="1" t="s">
        <v>94</v>
      </c>
      <c r="F233" s="1" t="str">
        <f t="shared" si="1"/>
        <v>11/02/26MT2039</v>
      </c>
      <c r="G233" s="1" t="str">
        <f t="shared" si="2"/>
        <v>O11/02/26</v>
      </c>
      <c r="H233" s="1" t="str">
        <f>IFNA(VLOOKUP(TRIM(E233),Master!D:M,4,0),"")</f>
        <v>SEKAM BAKAR 10KG</v>
      </c>
      <c r="I233" s="16">
        <v>2.0</v>
      </c>
      <c r="J233" s="5">
        <f>IFNA(VLOOKUP(E233,Master!D:U,14,0),0)</f>
        <v>12000</v>
      </c>
      <c r="K233" s="5">
        <v>0.0</v>
      </c>
      <c r="L233" s="5">
        <f t="shared" si="3"/>
        <v>24000</v>
      </c>
      <c r="M233" s="5">
        <f>IFNA(VLOOKUP(TRIM(E233),Master!D:U,13,0),"")</f>
        <v>6000</v>
      </c>
      <c r="N233" s="5">
        <f t="shared" si="4"/>
        <v>12000</v>
      </c>
      <c r="O233" s="16" t="s">
        <v>28</v>
      </c>
      <c r="P233" s="5">
        <f t="shared" si="5"/>
        <v>50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3" t="s">
        <v>203</v>
      </c>
      <c r="B234" s="13" t="s">
        <v>206</v>
      </c>
      <c r="C234" s="14"/>
      <c r="D234" s="15">
        <v>1.0</v>
      </c>
      <c r="E234" s="1" t="s">
        <v>193</v>
      </c>
      <c r="F234" s="1" t="str">
        <f t="shared" si="1"/>
        <v>11/02/26PK5026</v>
      </c>
      <c r="G234" s="1" t="str">
        <f t="shared" si="2"/>
        <v>C11/02/26</v>
      </c>
      <c r="H234" s="1" t="str">
        <f>IFNA(VLOOKUP(TRIM(E234),Master!D:M,4,0),"")</f>
        <v>MKP PAK TANI 1KG</v>
      </c>
      <c r="I234" s="4">
        <v>1.0</v>
      </c>
      <c r="J234" s="5">
        <f>IFNA(VLOOKUP(E234,Master!D:U,14,0),0)</f>
        <v>60000</v>
      </c>
      <c r="K234" s="5">
        <v>0.0</v>
      </c>
      <c r="L234" s="5">
        <f t="shared" si="3"/>
        <v>60000</v>
      </c>
      <c r="M234" s="5">
        <f>IFNA(VLOOKUP(TRIM(E234),Master!D:U,13,0),"")</f>
        <v>51000</v>
      </c>
      <c r="N234" s="5">
        <f t="shared" si="4"/>
        <v>9000</v>
      </c>
      <c r="O234" s="4" t="s">
        <v>19</v>
      </c>
      <c r="P234" s="5">
        <f t="shared" si="5"/>
        <v>15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3" t="s">
        <v>203</v>
      </c>
      <c r="B235" s="13" t="s">
        <v>184</v>
      </c>
      <c r="C235" s="14"/>
      <c r="D235" s="15">
        <v>1.0</v>
      </c>
      <c r="E235" s="1" t="s">
        <v>78</v>
      </c>
      <c r="F235" s="1" t="str">
        <f t="shared" si="1"/>
        <v>11/02/26MT2003</v>
      </c>
      <c r="G235" s="1" t="str">
        <f t="shared" si="2"/>
        <v>O11/02/26</v>
      </c>
      <c r="H235" s="1" t="str">
        <f>IFNA(VLOOKUP(TRIM(E235),Master!D:M,4,0),"")</f>
        <v>ARANG 5KG</v>
      </c>
      <c r="I235" s="4">
        <v>1.0</v>
      </c>
      <c r="J235" s="5">
        <f>IFNA(VLOOKUP(E235,Master!D:U,14,0),0)</f>
        <v>15000</v>
      </c>
      <c r="K235" s="5">
        <v>0.0</v>
      </c>
      <c r="L235" s="5">
        <f t="shared" si="3"/>
        <v>15000</v>
      </c>
      <c r="M235" s="5">
        <f>IFNA(VLOOKUP(TRIM(E235),Master!D:U,13,0),"")</f>
        <v>8000</v>
      </c>
      <c r="N235" s="5">
        <f t="shared" si="4"/>
        <v>7000</v>
      </c>
      <c r="O235" s="16" t="s">
        <v>28</v>
      </c>
      <c r="P235" s="5">
        <f t="shared" si="5"/>
        <v>46.66666667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3" t="s">
        <v>203</v>
      </c>
      <c r="B236" s="2"/>
      <c r="C236" s="14"/>
      <c r="D236" s="3"/>
      <c r="E236" s="1" t="s">
        <v>33</v>
      </c>
      <c r="F236" s="1" t="str">
        <f t="shared" si="1"/>
        <v>11/02/26PL3040</v>
      </c>
      <c r="G236" s="1" t="str">
        <f t="shared" si="2"/>
        <v>O11/02/26</v>
      </c>
      <c r="H236" s="1" t="str">
        <f>IFNA(VLOOKUP(TRIM(E236),Master!D:M,4,0),"")</f>
        <v>KAWAT BONSAI SILVER NO.1.5 ECERAN</v>
      </c>
      <c r="I236" s="16">
        <v>10.0</v>
      </c>
      <c r="J236" s="5">
        <f>IFNA(VLOOKUP(E236,Master!D:U,14,0),0)</f>
        <v>750</v>
      </c>
      <c r="K236" s="5">
        <v>0.0</v>
      </c>
      <c r="L236" s="5">
        <f t="shared" si="3"/>
        <v>7500</v>
      </c>
      <c r="M236" s="5">
        <f>IFNA(VLOOKUP(TRIM(E236),Master!D:U,13,0),"")</f>
        <v>444</v>
      </c>
      <c r="N236" s="5">
        <f t="shared" si="4"/>
        <v>3060</v>
      </c>
      <c r="O236" s="16" t="s">
        <v>28</v>
      </c>
      <c r="P236" s="5">
        <f t="shared" si="5"/>
        <v>40.8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3" t="s">
        <v>203</v>
      </c>
      <c r="B237" s="2"/>
      <c r="C237" s="14"/>
      <c r="D237" s="3"/>
      <c r="E237" s="17" t="s">
        <v>66</v>
      </c>
      <c r="F237" s="1" t="str">
        <f t="shared" si="1"/>
        <v>11/02/26PL3038</v>
      </c>
      <c r="G237" s="1" t="str">
        <f t="shared" si="2"/>
        <v>O11/02/26</v>
      </c>
      <c r="H237" s="1" t="str">
        <f>IFNA(VLOOKUP(TRIM(E237),Master!D:M,4,0),"")</f>
        <v>KAWAT BONSAI SILVER NO.1 ECERAN</v>
      </c>
      <c r="I237" s="16">
        <v>10.0</v>
      </c>
      <c r="J237" s="5">
        <f>IFNA(VLOOKUP(E237,Master!D:U,14,0),0)</f>
        <v>500</v>
      </c>
      <c r="K237" s="5">
        <v>0.0</v>
      </c>
      <c r="L237" s="5">
        <f t="shared" si="3"/>
        <v>5000</v>
      </c>
      <c r="M237" s="5">
        <f>IFNA(VLOOKUP(TRIM(E237),Master!D:U,13,0),"")</f>
        <v>267</v>
      </c>
      <c r="N237" s="5">
        <f t="shared" si="4"/>
        <v>2330</v>
      </c>
      <c r="O237" s="16" t="s">
        <v>28</v>
      </c>
      <c r="P237" s="5">
        <f t="shared" si="5"/>
        <v>46.6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3" t="s">
        <v>203</v>
      </c>
      <c r="B238" s="2"/>
      <c r="C238" s="14"/>
      <c r="D238" s="3"/>
      <c r="E238" s="1" t="s">
        <v>33</v>
      </c>
      <c r="F238" s="1" t="str">
        <f t="shared" si="1"/>
        <v>11/02/26PL3040</v>
      </c>
      <c r="G238" s="1" t="str">
        <f t="shared" si="2"/>
        <v>O11/02/26</v>
      </c>
      <c r="H238" s="1" t="str">
        <f>IFNA(VLOOKUP(TRIM(E238),Master!D:M,4,0),"")</f>
        <v>KAWAT BONSAI SILVER NO.1.5 ECERAN</v>
      </c>
      <c r="I238" s="16">
        <v>15.0</v>
      </c>
      <c r="J238" s="5">
        <f>IFNA(VLOOKUP(E238,Master!D:U,14,0),0)</f>
        <v>750</v>
      </c>
      <c r="K238" s="5">
        <v>0.0</v>
      </c>
      <c r="L238" s="5">
        <f t="shared" si="3"/>
        <v>11250</v>
      </c>
      <c r="M238" s="5">
        <f>IFNA(VLOOKUP(TRIM(E238),Master!D:U,13,0),"")</f>
        <v>444</v>
      </c>
      <c r="N238" s="5">
        <f t="shared" si="4"/>
        <v>4590</v>
      </c>
      <c r="O238" s="16" t="s">
        <v>28</v>
      </c>
      <c r="P238" s="5">
        <f t="shared" si="5"/>
        <v>40.8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3" t="s">
        <v>203</v>
      </c>
      <c r="B239" s="13" t="s">
        <v>207</v>
      </c>
      <c r="C239" s="14"/>
      <c r="D239" s="15">
        <v>1.0</v>
      </c>
      <c r="E239" s="17" t="s">
        <v>183</v>
      </c>
      <c r="F239" s="1" t="str">
        <f t="shared" si="1"/>
        <v>11/02/26PL3046</v>
      </c>
      <c r="G239" s="1" t="str">
        <f t="shared" si="2"/>
        <v>C11/02/26</v>
      </c>
      <c r="H239" s="1" t="str">
        <f>IFNA(VLOOKUP(TRIM(E239),Master!D:M,4,0),"")</f>
        <v>KAWAT BONSAI SILVER NO.3 ECERAN</v>
      </c>
      <c r="I239" s="16">
        <v>5.0</v>
      </c>
      <c r="J239" s="5">
        <f>IFNA(VLOOKUP(E239,Master!D:U,14,0),0)</f>
        <v>3000</v>
      </c>
      <c r="K239" s="5">
        <v>0.0</v>
      </c>
      <c r="L239" s="5">
        <f t="shared" si="3"/>
        <v>15000</v>
      </c>
      <c r="M239" s="5">
        <f>IFNA(VLOOKUP(TRIM(E239),Master!D:U,13,0),"")</f>
        <v>2000</v>
      </c>
      <c r="N239" s="5">
        <f t="shared" si="4"/>
        <v>5000</v>
      </c>
      <c r="O239" s="16" t="s">
        <v>19</v>
      </c>
      <c r="P239" s="5">
        <f t="shared" si="5"/>
        <v>33.33333333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3" t="s">
        <v>203</v>
      </c>
      <c r="B240" s="2"/>
      <c r="C240" s="14"/>
      <c r="D240" s="3"/>
      <c r="E240" s="1" t="s">
        <v>208</v>
      </c>
      <c r="F240" s="1" t="str">
        <f t="shared" si="1"/>
        <v>11/02/26PK5016</v>
      </c>
      <c r="G240" s="1" t="str">
        <f t="shared" si="2"/>
        <v>C11/02/26</v>
      </c>
      <c r="H240" s="1" t="str">
        <f>IFNA(VLOOKUP(TRIM(E240),Master!D:M,4,0),"")</f>
        <v>EM4</v>
      </c>
      <c r="I240" s="4">
        <v>1.0</v>
      </c>
      <c r="J240" s="18">
        <v>35000.0</v>
      </c>
      <c r="K240" s="18">
        <v>2000.0</v>
      </c>
      <c r="L240" s="5">
        <f t="shared" si="3"/>
        <v>33000</v>
      </c>
      <c r="M240" s="5">
        <f>IFNA(VLOOKUP(TRIM(E240),Master!D:U,13,0),"")</f>
        <v>24000</v>
      </c>
      <c r="N240" s="5">
        <f t="shared" si="4"/>
        <v>9000</v>
      </c>
      <c r="O240" s="4" t="s">
        <v>19</v>
      </c>
      <c r="P240" s="5">
        <f t="shared" si="5"/>
        <v>31.42857143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3" t="s">
        <v>203</v>
      </c>
      <c r="B241" s="13" t="s">
        <v>209</v>
      </c>
      <c r="C241" s="14"/>
      <c r="D241" s="15">
        <v>1.0</v>
      </c>
      <c r="E241" s="1" t="s">
        <v>39</v>
      </c>
      <c r="F241" s="1" t="str">
        <f t="shared" si="1"/>
        <v>11/02/26PL3066</v>
      </c>
      <c r="G241" s="1" t="str">
        <f t="shared" si="2"/>
        <v>C11/02/26</v>
      </c>
      <c r="H241" s="1" t="str">
        <f>IFNA(VLOOKUP(TRIM(E241),Master!D:M,4,0),"")</f>
        <v>BIBIT BINTANG ASIA</v>
      </c>
      <c r="I241" s="16">
        <v>3.0</v>
      </c>
      <c r="J241" s="18">
        <v>17000.0</v>
      </c>
      <c r="K241" s="18">
        <v>2000.0</v>
      </c>
      <c r="L241" s="5">
        <f t="shared" si="3"/>
        <v>49000</v>
      </c>
      <c r="M241" s="5">
        <f>IFNA(VLOOKUP(TRIM(E241),Master!D:U,13,0),"")</f>
        <v>12500</v>
      </c>
      <c r="N241" s="5">
        <f t="shared" si="4"/>
        <v>11500</v>
      </c>
      <c r="O241" s="4" t="s">
        <v>19</v>
      </c>
      <c r="P241" s="5">
        <f t="shared" si="5"/>
        <v>26.47058824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3" t="s">
        <v>203</v>
      </c>
      <c r="B242" s="2"/>
      <c r="C242" s="14"/>
      <c r="D242" s="3"/>
      <c r="E242" s="1" t="s">
        <v>191</v>
      </c>
      <c r="F242" s="1" t="str">
        <f t="shared" si="1"/>
        <v>11/02/26PL3067</v>
      </c>
      <c r="G242" s="1" t="str">
        <f t="shared" si="2"/>
        <v>C11/02/26</v>
      </c>
      <c r="H242" s="1" t="str">
        <f>IFNA(VLOOKUP(TRIM(E242),Master!D:M,4,0),"")</f>
        <v>BIBIT HITAM</v>
      </c>
      <c r="I242" s="16">
        <v>4.0</v>
      </c>
      <c r="J242" s="5">
        <f>IFNA(VLOOKUP(E242,Master!D:U,14,0),0)</f>
        <v>10000</v>
      </c>
      <c r="K242" s="5">
        <v>0.0</v>
      </c>
      <c r="L242" s="5">
        <f t="shared" si="3"/>
        <v>40000</v>
      </c>
      <c r="M242" s="5">
        <f>IFNA(VLOOKUP(TRIM(E242),Master!D:U,13,0),"")</f>
        <v>4000</v>
      </c>
      <c r="N242" s="5">
        <f t="shared" si="4"/>
        <v>24000</v>
      </c>
      <c r="O242" s="16" t="s">
        <v>19</v>
      </c>
      <c r="P242" s="5">
        <f t="shared" si="5"/>
        <v>60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3" t="s">
        <v>203</v>
      </c>
      <c r="B243" s="2"/>
      <c r="C243" s="14"/>
      <c r="D243" s="3"/>
      <c r="E243" s="1" t="s">
        <v>40</v>
      </c>
      <c r="F243" s="1" t="str">
        <f t="shared" si="1"/>
        <v>11/02/26PL3068</v>
      </c>
      <c r="G243" s="1" t="str">
        <f t="shared" si="2"/>
        <v>C11/02/26</v>
      </c>
      <c r="H243" s="1" t="str">
        <f>IFNA(VLOOKUP(TRIM(E243),Master!D:M,4,0),"")</f>
        <v>BIBIT PUTIH</v>
      </c>
      <c r="I243" s="16">
        <v>2.0</v>
      </c>
      <c r="J243" s="5">
        <f>IFNA(VLOOKUP(E243,Master!D:U,14,0),0)</f>
        <v>5000</v>
      </c>
      <c r="K243" s="5">
        <v>0.0</v>
      </c>
      <c r="L243" s="5">
        <f t="shared" si="3"/>
        <v>10000</v>
      </c>
      <c r="M243" s="5">
        <f>IFNA(VLOOKUP(TRIM(E243),Master!D:U,13,0),"")</f>
        <v>2000</v>
      </c>
      <c r="N243" s="5">
        <f t="shared" si="4"/>
        <v>6000</v>
      </c>
      <c r="O243" s="4" t="s">
        <v>19</v>
      </c>
      <c r="P243" s="5">
        <f t="shared" si="5"/>
        <v>60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3" t="s">
        <v>203</v>
      </c>
      <c r="B244" s="2"/>
      <c r="C244" s="14"/>
      <c r="D244" s="3"/>
      <c r="E244" s="1" t="s">
        <v>210</v>
      </c>
      <c r="F244" s="1" t="str">
        <f t="shared" si="1"/>
        <v>11/02/26PL3094</v>
      </c>
      <c r="G244" s="1" t="str">
        <f t="shared" si="2"/>
        <v>C11/02/26</v>
      </c>
      <c r="H244" s="1" t="str">
        <f>IFNA(VLOOKUP(TRIM(E244),Master!D:M,4,0),"")</f>
        <v>TRAI 32</v>
      </c>
      <c r="I244" s="4">
        <v>1.0</v>
      </c>
      <c r="J244" s="5">
        <f>IFNA(VLOOKUP(E244,Master!D:U,14,0),0)</f>
        <v>15000</v>
      </c>
      <c r="K244" s="5">
        <v>0.0</v>
      </c>
      <c r="L244" s="5">
        <f t="shared" si="3"/>
        <v>15000</v>
      </c>
      <c r="M244" s="5">
        <f>IFNA(VLOOKUP(TRIM(E244),Master!D:U,13,0),"")</f>
        <v>12000</v>
      </c>
      <c r="N244" s="5">
        <f t="shared" si="4"/>
        <v>3000</v>
      </c>
      <c r="O244" s="4" t="s">
        <v>19</v>
      </c>
      <c r="P244" s="5">
        <f t="shared" si="5"/>
        <v>20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3" t="s">
        <v>203</v>
      </c>
      <c r="B245" s="2"/>
      <c r="C245" s="14"/>
      <c r="D245" s="3"/>
      <c r="E245" s="1" t="s">
        <v>199</v>
      </c>
      <c r="F245" s="1" t="str">
        <f t="shared" si="1"/>
        <v>11/02/26PL3119</v>
      </c>
      <c r="G245" s="1" t="str">
        <f t="shared" si="2"/>
        <v>C11/02/26</v>
      </c>
      <c r="H245" s="1" t="str">
        <f>IFNA(VLOOKUP(TRIM(E245),Master!D:M,4,0),"")</f>
        <v>TURUS 60CM</v>
      </c>
      <c r="I245" s="16">
        <v>2.0</v>
      </c>
      <c r="J245" s="18">
        <v>16000.0</v>
      </c>
      <c r="K245" s="5">
        <v>0.0</v>
      </c>
      <c r="L245" s="5">
        <f t="shared" si="3"/>
        <v>32000</v>
      </c>
      <c r="M245" s="5">
        <f>IFNA(VLOOKUP(TRIM(E245),Master!D:U,13,0),"")</f>
        <v>12500</v>
      </c>
      <c r="N245" s="5">
        <f t="shared" si="4"/>
        <v>7000</v>
      </c>
      <c r="O245" s="16" t="s">
        <v>19</v>
      </c>
      <c r="P245" s="5">
        <f t="shared" si="5"/>
        <v>21.875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3" t="s">
        <v>203</v>
      </c>
      <c r="B246" s="13" t="s">
        <v>211</v>
      </c>
      <c r="C246" s="14"/>
      <c r="D246" s="15">
        <v>1.0</v>
      </c>
      <c r="E246" s="1" t="s">
        <v>212</v>
      </c>
      <c r="F246" s="1" t="str">
        <f t="shared" si="1"/>
        <v>11/02/26PL3045</v>
      </c>
      <c r="G246" s="1" t="str">
        <f t="shared" si="2"/>
        <v>O11/02/26</v>
      </c>
      <c r="H246" s="1" t="str">
        <f>IFNA(VLOOKUP(TRIM(E246),Master!D:M,4,0),"")</f>
        <v>KAWAT BONSAI SILVER NO.3</v>
      </c>
      <c r="I246" s="4">
        <v>1.0</v>
      </c>
      <c r="J246" s="5">
        <f>IFNA(VLOOKUP(E246,Master!D:U,14,0),0)</f>
        <v>95000</v>
      </c>
      <c r="K246" s="5">
        <v>0.0</v>
      </c>
      <c r="L246" s="5">
        <f t="shared" si="3"/>
        <v>95000</v>
      </c>
      <c r="M246" s="5">
        <f>IFNA(VLOOKUP(TRIM(E246),Master!D:U,13,0),"")</f>
        <v>85000</v>
      </c>
      <c r="N246" s="5">
        <f t="shared" si="4"/>
        <v>10000</v>
      </c>
      <c r="O246" s="16" t="s">
        <v>28</v>
      </c>
      <c r="P246" s="5">
        <f t="shared" si="5"/>
        <v>10.52631579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3" t="s">
        <v>203</v>
      </c>
      <c r="B247" s="2"/>
      <c r="C247" s="14"/>
      <c r="D247" s="3"/>
      <c r="E247" s="1" t="s">
        <v>37</v>
      </c>
      <c r="F247" s="1" t="str">
        <f t="shared" si="1"/>
        <v>11/02/26MT2050</v>
      </c>
      <c r="G247" s="1" t="str">
        <f t="shared" si="2"/>
        <v>O11/02/26</v>
      </c>
      <c r="H247" s="1" t="str">
        <f>IFNA(VLOOKUP(TRIM(E247),Master!D:M,4,0),"")</f>
        <v>TANAH SUBUR 10KG BINTANG TANI</v>
      </c>
      <c r="I247" s="4">
        <v>1.0</v>
      </c>
      <c r="J247" s="5">
        <f>IFNA(VLOOKUP(E247,Master!D:U,14,0),0)</f>
        <v>10000</v>
      </c>
      <c r="K247" s="5">
        <v>0.0</v>
      </c>
      <c r="L247" s="5">
        <f t="shared" si="3"/>
        <v>10000</v>
      </c>
      <c r="M247" s="5">
        <f>IFNA(VLOOKUP(TRIM(E247),Master!D:U,13,0),"")</f>
        <v>6000</v>
      </c>
      <c r="N247" s="5">
        <f t="shared" si="4"/>
        <v>4000</v>
      </c>
      <c r="O247" s="16" t="s">
        <v>28</v>
      </c>
      <c r="P247" s="5">
        <f t="shared" si="5"/>
        <v>40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3" t="s">
        <v>203</v>
      </c>
      <c r="B248" s="2"/>
      <c r="C248" s="14"/>
      <c r="D248" s="3"/>
      <c r="E248" s="1" t="s">
        <v>213</v>
      </c>
      <c r="F248" s="1" t="str">
        <f t="shared" si="1"/>
        <v>11/02/26PK5070</v>
      </c>
      <c r="G248" s="1" t="str">
        <f t="shared" si="2"/>
        <v>O11/02/26</v>
      </c>
      <c r="H248" s="1" t="str">
        <f>IFNA(VLOOKUP(TRIM(E248),Master!D:M,4,0),"")</f>
        <v>VITAMIN B1 100ML</v>
      </c>
      <c r="I248" s="4">
        <v>1.0</v>
      </c>
      <c r="J248" s="5">
        <f>IFNA(VLOOKUP(E248,Master!D:U,14,0),0)</f>
        <v>20000</v>
      </c>
      <c r="K248" s="5">
        <v>0.0</v>
      </c>
      <c r="L248" s="5">
        <f t="shared" si="3"/>
        <v>20000</v>
      </c>
      <c r="M248" s="5">
        <f>IFNA(VLOOKUP(TRIM(E248),Master!D:U,13,0),"")</f>
        <v>9300</v>
      </c>
      <c r="N248" s="5">
        <f t="shared" si="4"/>
        <v>10700</v>
      </c>
      <c r="O248" s="16" t="s">
        <v>28</v>
      </c>
      <c r="P248" s="5">
        <f t="shared" si="5"/>
        <v>53.5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3" t="s">
        <v>203</v>
      </c>
      <c r="B249" s="2"/>
      <c r="C249" s="14"/>
      <c r="D249" s="3"/>
      <c r="E249" s="1" t="s">
        <v>33</v>
      </c>
      <c r="F249" s="1" t="str">
        <f t="shared" si="1"/>
        <v>11/02/26PL3040</v>
      </c>
      <c r="G249" s="1" t="str">
        <f t="shared" si="2"/>
        <v>O11/02/26</v>
      </c>
      <c r="H249" s="1" t="str">
        <f>IFNA(VLOOKUP(TRIM(E249),Master!D:M,4,0),"")</f>
        <v>KAWAT BONSAI SILVER NO.1.5 ECERAN</v>
      </c>
      <c r="I249" s="16">
        <v>5.0</v>
      </c>
      <c r="J249" s="5">
        <f>IFNA(VLOOKUP(E249,Master!D:U,14,0),0)</f>
        <v>750</v>
      </c>
      <c r="K249" s="5">
        <v>0.0</v>
      </c>
      <c r="L249" s="5">
        <f t="shared" si="3"/>
        <v>3750</v>
      </c>
      <c r="M249" s="5">
        <f>IFNA(VLOOKUP(TRIM(E249),Master!D:U,13,0),"")</f>
        <v>444</v>
      </c>
      <c r="N249" s="5">
        <f t="shared" si="4"/>
        <v>1530</v>
      </c>
      <c r="O249" s="16" t="s">
        <v>28</v>
      </c>
      <c r="P249" s="5">
        <f t="shared" si="5"/>
        <v>40.8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3" t="s">
        <v>203</v>
      </c>
      <c r="B250" s="2"/>
      <c r="C250" s="14"/>
      <c r="D250" s="3"/>
      <c r="E250" s="1" t="s">
        <v>137</v>
      </c>
      <c r="F250" s="1" t="str">
        <f t="shared" si="1"/>
        <v>11/02/26MT2020</v>
      </c>
      <c r="G250" s="1" t="str">
        <f t="shared" si="2"/>
        <v>I11/02/26</v>
      </c>
      <c r="H250" s="1" t="str">
        <f>IFNA(VLOOKUP(TRIM(E250),Master!D:M,4,0),"")</f>
        <v>PAKIS CACAH</v>
      </c>
      <c r="I250" s="16">
        <v>4.0</v>
      </c>
      <c r="J250" s="5">
        <f>IFNA(VLOOKUP(E250,Master!D:U,14,0),0)</f>
        <v>12000</v>
      </c>
      <c r="K250" s="5">
        <v>0.0</v>
      </c>
      <c r="L250" s="5">
        <f t="shared" si="3"/>
        <v>48000</v>
      </c>
      <c r="M250" s="5">
        <f>IFNA(VLOOKUP(TRIM(E250),Master!D:U,13,0),"")</f>
        <v>7000</v>
      </c>
      <c r="N250" s="5">
        <f t="shared" si="4"/>
        <v>20000</v>
      </c>
      <c r="O250" s="16" t="s">
        <v>23</v>
      </c>
      <c r="P250" s="5">
        <f t="shared" si="5"/>
        <v>41.66666667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3" t="s">
        <v>203</v>
      </c>
      <c r="B251" s="13" t="s">
        <v>214</v>
      </c>
      <c r="C251" s="14"/>
      <c r="D251" s="15">
        <v>1.0</v>
      </c>
      <c r="E251" s="1" t="s">
        <v>34</v>
      </c>
      <c r="F251" s="1" t="str">
        <f t="shared" si="1"/>
        <v>11/02/26MT2053</v>
      </c>
      <c r="G251" s="1" t="str">
        <f t="shared" si="2"/>
        <v>C11/02/26</v>
      </c>
      <c r="H251" s="1" t="str">
        <f>IFNA(VLOOKUP(TRIM(E251),Master!D:M,4,0),"")</f>
        <v>TANAH SUBUR 25KG BINTANG TANI</v>
      </c>
      <c r="I251" s="4">
        <v>1.0</v>
      </c>
      <c r="J251" s="5">
        <f>IFNA(VLOOKUP(E251,Master!D:U,14,0),0)</f>
        <v>25000</v>
      </c>
      <c r="K251" s="5">
        <v>0.0</v>
      </c>
      <c r="L251" s="5">
        <f t="shared" si="3"/>
        <v>25000</v>
      </c>
      <c r="M251" s="5">
        <f>IFNA(VLOOKUP(TRIM(E251),Master!D:U,13,0),"")</f>
        <v>15000</v>
      </c>
      <c r="N251" s="5">
        <f t="shared" si="4"/>
        <v>10000</v>
      </c>
      <c r="O251" s="16" t="s">
        <v>19</v>
      </c>
      <c r="P251" s="5">
        <f t="shared" si="5"/>
        <v>40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3" t="s">
        <v>203</v>
      </c>
      <c r="B252" s="2"/>
      <c r="C252" s="14"/>
      <c r="D252" s="3"/>
      <c r="E252" s="1" t="s">
        <v>215</v>
      </c>
      <c r="F252" s="1" t="str">
        <f t="shared" si="1"/>
        <v>11/02/26MT2040</v>
      </c>
      <c r="G252" s="1" t="str">
        <f t="shared" si="2"/>
        <v>C11/02/26</v>
      </c>
      <c r="H252" s="1" t="str">
        <f>IFNA(VLOOKUP(TRIM(E252),Master!D:M,4,0),"")</f>
        <v>SEKAM BAKAR 25KG</v>
      </c>
      <c r="I252" s="4">
        <v>1.0</v>
      </c>
      <c r="J252" s="5">
        <f>IFNA(VLOOKUP(E252,Master!D:U,14,0),0)</f>
        <v>25000</v>
      </c>
      <c r="K252" s="5">
        <v>0.0</v>
      </c>
      <c r="L252" s="5">
        <f t="shared" si="3"/>
        <v>25000</v>
      </c>
      <c r="M252" s="5">
        <f>IFNA(VLOOKUP(TRIM(E252),Master!D:U,13,0),"")</f>
        <v>17000</v>
      </c>
      <c r="N252" s="5">
        <f t="shared" si="4"/>
        <v>8000</v>
      </c>
      <c r="O252" s="4" t="s">
        <v>19</v>
      </c>
      <c r="P252" s="5">
        <f t="shared" si="5"/>
        <v>32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3" t="s">
        <v>216</v>
      </c>
      <c r="B253" s="13" t="s">
        <v>217</v>
      </c>
      <c r="C253" s="14"/>
      <c r="D253" s="15">
        <v>1.0</v>
      </c>
      <c r="E253" s="1" t="s">
        <v>115</v>
      </c>
      <c r="F253" s="1" t="str">
        <f t="shared" si="1"/>
        <v>12/02/26MT2022</v>
      </c>
      <c r="G253" s="1" t="str">
        <f t="shared" si="2"/>
        <v>C12/02/26</v>
      </c>
      <c r="H253" s="1" t="str">
        <f>IFNA(VLOOKUP(TRIM(E253),Master!D:M,4,0),"")</f>
        <v>PASIR MALANG 10KG</v>
      </c>
      <c r="I253" s="4">
        <v>1.0</v>
      </c>
      <c r="J253" s="5">
        <f>IFNA(VLOOKUP(E253,Master!D:U,14,0),0)</f>
        <v>15000</v>
      </c>
      <c r="K253" s="5">
        <v>0.0</v>
      </c>
      <c r="L253" s="5">
        <f t="shared" si="3"/>
        <v>15000</v>
      </c>
      <c r="M253" s="5">
        <f>IFNA(VLOOKUP(TRIM(E253),Master!D:U,13,0),"")</f>
        <v>8000</v>
      </c>
      <c r="N253" s="5">
        <f t="shared" si="4"/>
        <v>7000</v>
      </c>
      <c r="O253" s="4" t="s">
        <v>19</v>
      </c>
      <c r="P253" s="5">
        <f t="shared" si="5"/>
        <v>46.66666667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3" t="s">
        <v>216</v>
      </c>
      <c r="B254" s="2"/>
      <c r="C254" s="14"/>
      <c r="D254" s="3"/>
      <c r="E254" s="17" t="s">
        <v>183</v>
      </c>
      <c r="F254" s="1" t="str">
        <f t="shared" si="1"/>
        <v>12/02/26PL3046</v>
      </c>
      <c r="G254" s="1" t="str">
        <f t="shared" si="2"/>
        <v>C12/02/26</v>
      </c>
      <c r="H254" s="1" t="str">
        <f>IFNA(VLOOKUP(TRIM(E254),Master!D:M,4,0),"")</f>
        <v>KAWAT BONSAI SILVER NO.3 ECERAN</v>
      </c>
      <c r="I254" s="16">
        <v>5.0</v>
      </c>
      <c r="J254" s="5">
        <f>IFNA(VLOOKUP(E254,Master!D:U,14,0),0)</f>
        <v>3000</v>
      </c>
      <c r="K254" s="5">
        <v>0.0</v>
      </c>
      <c r="L254" s="5">
        <f t="shared" si="3"/>
        <v>15000</v>
      </c>
      <c r="M254" s="5">
        <f>IFNA(VLOOKUP(TRIM(E254),Master!D:U,13,0),"")</f>
        <v>2000</v>
      </c>
      <c r="N254" s="5">
        <f t="shared" si="4"/>
        <v>5000</v>
      </c>
      <c r="O254" s="16" t="s">
        <v>19</v>
      </c>
      <c r="P254" s="5">
        <f t="shared" si="5"/>
        <v>33.33333333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3" t="s">
        <v>216</v>
      </c>
      <c r="B255" s="2"/>
      <c r="C255" s="14"/>
      <c r="D255" s="3"/>
      <c r="E255" s="1" t="s">
        <v>90</v>
      </c>
      <c r="F255" s="1" t="str">
        <f t="shared" si="1"/>
        <v>12/02/26PK5067</v>
      </c>
      <c r="G255" s="1" t="str">
        <f t="shared" si="2"/>
        <v>C12/02/26</v>
      </c>
      <c r="H255" s="1" t="str">
        <f>IFNA(VLOOKUP(TRIM(E255),Master!D:M,4,0),"")</f>
        <v>PUPUK XPK PCK 100GR</v>
      </c>
      <c r="I255" s="4">
        <v>1.0</v>
      </c>
      <c r="J255" s="5">
        <f>IFNA(VLOOKUP(E255,Master!D:U,14,0),0)</f>
        <v>15000</v>
      </c>
      <c r="K255" s="5">
        <v>0.0</v>
      </c>
      <c r="L255" s="5">
        <f t="shared" si="3"/>
        <v>15000</v>
      </c>
      <c r="M255" s="5">
        <f>IFNA(VLOOKUP(TRIM(E255),Master!D:U,13,0),"")</f>
        <v>7500</v>
      </c>
      <c r="N255" s="5">
        <f t="shared" si="4"/>
        <v>7500</v>
      </c>
      <c r="O255" s="4" t="s">
        <v>19</v>
      </c>
      <c r="P255" s="5">
        <f t="shared" si="5"/>
        <v>50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3" t="s">
        <v>216</v>
      </c>
      <c r="B256" s="13" t="s">
        <v>218</v>
      </c>
      <c r="C256" s="14"/>
      <c r="D256" s="15">
        <v>1.0</v>
      </c>
      <c r="E256" s="1" t="s">
        <v>34</v>
      </c>
      <c r="F256" s="1" t="str">
        <f t="shared" si="1"/>
        <v>12/02/26MT2053</v>
      </c>
      <c r="G256" s="1" t="str">
        <f t="shared" si="2"/>
        <v>C12/02/26</v>
      </c>
      <c r="H256" s="1" t="str">
        <f>IFNA(VLOOKUP(TRIM(E256),Master!D:M,4,0),"")</f>
        <v>TANAH SUBUR 25KG BINTANG TANI</v>
      </c>
      <c r="I256" s="4">
        <v>1.0</v>
      </c>
      <c r="J256" s="5">
        <f>IFNA(VLOOKUP(E256,Master!D:U,14,0),0)</f>
        <v>25000</v>
      </c>
      <c r="K256" s="5">
        <v>0.0</v>
      </c>
      <c r="L256" s="5">
        <f t="shared" si="3"/>
        <v>25000</v>
      </c>
      <c r="M256" s="5">
        <f>IFNA(VLOOKUP(TRIM(E256),Master!D:U,13,0),"")</f>
        <v>15000</v>
      </c>
      <c r="N256" s="5">
        <f t="shared" si="4"/>
        <v>10000</v>
      </c>
      <c r="O256" s="4" t="s">
        <v>19</v>
      </c>
      <c r="P256" s="5">
        <f t="shared" si="5"/>
        <v>40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3" t="s">
        <v>216</v>
      </c>
      <c r="B257" s="13" t="s">
        <v>219</v>
      </c>
      <c r="C257" s="14"/>
      <c r="D257" s="15">
        <v>1.0</v>
      </c>
      <c r="E257" s="1" t="s">
        <v>220</v>
      </c>
      <c r="F257" s="1" t="str">
        <f t="shared" si="1"/>
        <v>12/02/26MT2024</v>
      </c>
      <c r="G257" s="1" t="str">
        <f t="shared" si="2"/>
        <v>C12/02/26</v>
      </c>
      <c r="H257" s="1" t="str">
        <f>IFNA(VLOOKUP(TRIM(E257),Master!D:M,4,0),"")</f>
        <v>PASIR MALANG 25KG</v>
      </c>
      <c r="I257" s="4">
        <v>1.0</v>
      </c>
      <c r="J257" s="5">
        <f>IFNA(VLOOKUP(E257,Master!D:U,14,0),0)</f>
        <v>35000</v>
      </c>
      <c r="K257" s="5">
        <v>0.0</v>
      </c>
      <c r="L257" s="5">
        <f t="shared" si="3"/>
        <v>35000</v>
      </c>
      <c r="M257" s="5">
        <f>IFNA(VLOOKUP(TRIM(E257),Master!D:U,13,0),"")</f>
        <v>25000</v>
      </c>
      <c r="N257" s="5">
        <f t="shared" si="4"/>
        <v>10000</v>
      </c>
      <c r="O257" s="16" t="s">
        <v>19</v>
      </c>
      <c r="P257" s="5">
        <f t="shared" si="5"/>
        <v>28.57142857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3" t="s">
        <v>216</v>
      </c>
      <c r="B258" s="13" t="s">
        <v>221</v>
      </c>
      <c r="C258" s="14"/>
      <c r="D258" s="15">
        <v>1.0</v>
      </c>
      <c r="E258" s="1" t="s">
        <v>37</v>
      </c>
      <c r="F258" s="1" t="str">
        <f t="shared" si="1"/>
        <v>12/02/26MT2050</v>
      </c>
      <c r="G258" s="1" t="str">
        <f t="shared" si="2"/>
        <v>C12/02/26</v>
      </c>
      <c r="H258" s="1" t="str">
        <f>IFNA(VLOOKUP(TRIM(E258),Master!D:M,4,0),"")</f>
        <v>TANAH SUBUR 10KG BINTANG TANI</v>
      </c>
      <c r="I258" s="16">
        <v>4.0</v>
      </c>
      <c r="J258" s="5">
        <f>IFNA(VLOOKUP(E258,Master!D:U,14,0),0)</f>
        <v>10000</v>
      </c>
      <c r="K258" s="5">
        <v>0.0</v>
      </c>
      <c r="L258" s="5">
        <f t="shared" si="3"/>
        <v>40000</v>
      </c>
      <c r="M258" s="5">
        <f>IFNA(VLOOKUP(TRIM(E258),Master!D:U,13,0),"")</f>
        <v>6000</v>
      </c>
      <c r="N258" s="5">
        <f t="shared" si="4"/>
        <v>16000</v>
      </c>
      <c r="O258" s="4" t="s">
        <v>19</v>
      </c>
      <c r="P258" s="5">
        <f t="shared" si="5"/>
        <v>40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3" t="s">
        <v>216</v>
      </c>
      <c r="B259" s="13" t="s">
        <v>221</v>
      </c>
      <c r="C259" s="14"/>
      <c r="D259" s="15">
        <v>1.0</v>
      </c>
      <c r="E259" s="1" t="s">
        <v>37</v>
      </c>
      <c r="F259" s="1" t="str">
        <f t="shared" si="1"/>
        <v>12/02/26MT2050</v>
      </c>
      <c r="G259" s="1" t="str">
        <f t="shared" si="2"/>
        <v>C12/02/26</v>
      </c>
      <c r="H259" s="1" t="str">
        <f>IFNA(VLOOKUP(TRIM(E259),Master!D:M,4,0),"")</f>
        <v>TANAH SUBUR 10KG BINTANG TANI</v>
      </c>
      <c r="I259" s="16">
        <v>2.0</v>
      </c>
      <c r="J259" s="5">
        <f>IFNA(VLOOKUP(E259,Master!D:U,14,0),0)</f>
        <v>10000</v>
      </c>
      <c r="K259" s="5">
        <v>0.0</v>
      </c>
      <c r="L259" s="5">
        <f t="shared" si="3"/>
        <v>20000</v>
      </c>
      <c r="M259" s="5">
        <f>IFNA(VLOOKUP(TRIM(E259),Master!D:U,13,0),"")</f>
        <v>6000</v>
      </c>
      <c r="N259" s="5">
        <f t="shared" si="4"/>
        <v>8000</v>
      </c>
      <c r="O259" s="16" t="s">
        <v>19</v>
      </c>
      <c r="P259" s="5">
        <f t="shared" si="5"/>
        <v>40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3" t="s">
        <v>216</v>
      </c>
      <c r="B260" s="13" t="s">
        <v>222</v>
      </c>
      <c r="C260" s="19"/>
      <c r="D260" s="15">
        <v>1.0</v>
      </c>
      <c r="E260" s="17" t="s">
        <v>223</v>
      </c>
      <c r="F260" s="1" t="str">
        <f t="shared" si="1"/>
        <v>12/02/26PL3050</v>
      </c>
      <c r="G260" s="1" t="str">
        <f t="shared" si="2"/>
        <v>O12/02/26</v>
      </c>
      <c r="H260" s="1" t="str">
        <f>IFNA(VLOOKUP(TRIM(E260),Master!D:M,4,0),"")</f>
        <v>KAWAT BONSAI SILVER NO.4 ECERAN</v>
      </c>
      <c r="I260" s="16">
        <v>2.0</v>
      </c>
      <c r="J260" s="5">
        <f>IFNA(VLOOKUP(E260,Master!D:U,14,0),0)</f>
        <v>5000</v>
      </c>
      <c r="K260" s="5">
        <v>0.0</v>
      </c>
      <c r="L260" s="5">
        <f t="shared" si="3"/>
        <v>10000</v>
      </c>
      <c r="M260" s="5">
        <f>IFNA(VLOOKUP(TRIM(E260),Master!D:U,13,0),"")</f>
        <v>4000</v>
      </c>
      <c r="N260" s="5">
        <f t="shared" si="4"/>
        <v>2000</v>
      </c>
      <c r="O260" s="16" t="s">
        <v>28</v>
      </c>
      <c r="P260" s="5">
        <f t="shared" si="5"/>
        <v>20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3" t="s">
        <v>216</v>
      </c>
      <c r="B261" s="13" t="s">
        <v>224</v>
      </c>
      <c r="C261" s="14"/>
      <c r="D261" s="15">
        <v>1.0</v>
      </c>
      <c r="E261" s="1" t="s">
        <v>37</v>
      </c>
      <c r="F261" s="1" t="str">
        <f t="shared" si="1"/>
        <v>12/02/26MT2050</v>
      </c>
      <c r="G261" s="1" t="str">
        <f t="shared" si="2"/>
        <v>C12/02/26</v>
      </c>
      <c r="H261" s="1" t="str">
        <f>IFNA(VLOOKUP(TRIM(E261),Master!D:M,4,0),"")</f>
        <v>TANAH SUBUR 10KG BINTANG TANI</v>
      </c>
      <c r="I261" s="4">
        <v>1.0</v>
      </c>
      <c r="J261" s="5">
        <f>IFNA(VLOOKUP(E261,Master!D:U,14,0),0)</f>
        <v>10000</v>
      </c>
      <c r="K261" s="5">
        <v>0.0</v>
      </c>
      <c r="L261" s="5">
        <f t="shared" si="3"/>
        <v>10000</v>
      </c>
      <c r="M261" s="5">
        <f>IFNA(VLOOKUP(TRIM(E261),Master!D:U,13,0),"")</f>
        <v>6000</v>
      </c>
      <c r="N261" s="5">
        <f t="shared" si="4"/>
        <v>4000</v>
      </c>
      <c r="O261" s="4" t="s">
        <v>19</v>
      </c>
      <c r="P261" s="5">
        <f t="shared" si="5"/>
        <v>40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3" t="s">
        <v>216</v>
      </c>
      <c r="B262" s="2"/>
      <c r="C262" s="14"/>
      <c r="D262" s="3"/>
      <c r="E262" s="1" t="s">
        <v>18</v>
      </c>
      <c r="F262" s="1" t="str">
        <f t="shared" si="1"/>
        <v>12/02/26PK5043</v>
      </c>
      <c r="G262" s="1" t="str">
        <f t="shared" si="2"/>
        <v>C12/02/26</v>
      </c>
      <c r="H262" s="1" t="str">
        <f>IFNA(VLOOKUP(TRIM(E262),Master!D:M,4,0),"")</f>
        <v>PUPUK KAMBING 5KG</v>
      </c>
      <c r="I262" s="4">
        <v>1.0</v>
      </c>
      <c r="J262" s="5">
        <f>IFNA(VLOOKUP(E262,Master!D:U,14,0),0)</f>
        <v>15000</v>
      </c>
      <c r="K262" s="5">
        <v>0.0</v>
      </c>
      <c r="L262" s="5">
        <f t="shared" si="3"/>
        <v>15000</v>
      </c>
      <c r="M262" s="5">
        <f>IFNA(VLOOKUP(TRIM(E262),Master!D:U,13,0),"")</f>
        <v>8000</v>
      </c>
      <c r="N262" s="5">
        <f t="shared" si="4"/>
        <v>7000</v>
      </c>
      <c r="O262" s="16" t="s">
        <v>19</v>
      </c>
      <c r="P262" s="5">
        <f t="shared" si="5"/>
        <v>46.66666667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3" t="s">
        <v>216</v>
      </c>
      <c r="B263" s="13" t="s">
        <v>224</v>
      </c>
      <c r="C263" s="14"/>
      <c r="D263" s="15">
        <v>1.0</v>
      </c>
      <c r="E263" s="1" t="s">
        <v>225</v>
      </c>
      <c r="F263" s="1" t="str">
        <f t="shared" si="1"/>
        <v>12/02/26PK5049</v>
      </c>
      <c r="G263" s="1" t="str">
        <f t="shared" si="2"/>
        <v>C12/02/26</v>
      </c>
      <c r="H263" s="1" t="str">
        <f>IFNA(VLOOKUP(TRIM(E263),Master!D:M,4,0),"")</f>
        <v>PUPUK MUTIARA 161616 1KG</v>
      </c>
      <c r="I263" s="16">
        <v>5.0</v>
      </c>
      <c r="J263" s="5">
        <f>IFNA(VLOOKUP(E263,Master!D:U,14,0),0)</f>
        <v>25000</v>
      </c>
      <c r="K263" s="5">
        <v>0.0</v>
      </c>
      <c r="L263" s="5">
        <f t="shared" si="3"/>
        <v>125000</v>
      </c>
      <c r="M263" s="5">
        <f>IFNA(VLOOKUP(TRIM(E263),Master!D:U,13,0),"")</f>
        <v>17600</v>
      </c>
      <c r="N263" s="5">
        <f t="shared" si="4"/>
        <v>37000</v>
      </c>
      <c r="O263" s="4" t="s">
        <v>19</v>
      </c>
      <c r="P263" s="5">
        <f t="shared" si="5"/>
        <v>29.6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3" t="s">
        <v>216</v>
      </c>
      <c r="B264" s="13" t="s">
        <v>226</v>
      </c>
      <c r="C264" s="14"/>
      <c r="D264" s="15">
        <v>1.0</v>
      </c>
      <c r="E264" s="17" t="s">
        <v>183</v>
      </c>
      <c r="F264" s="1" t="str">
        <f t="shared" si="1"/>
        <v>12/02/26PL3046</v>
      </c>
      <c r="G264" s="1" t="str">
        <f t="shared" si="2"/>
        <v>O12/02/26</v>
      </c>
      <c r="H264" s="1" t="str">
        <f>IFNA(VLOOKUP(TRIM(E264),Master!D:M,4,0),"")</f>
        <v>KAWAT BONSAI SILVER NO.3 ECERAN</v>
      </c>
      <c r="I264" s="16">
        <v>10.0</v>
      </c>
      <c r="J264" s="5">
        <f>IFNA(VLOOKUP(E264,Master!D:U,14,0),0)</f>
        <v>3000</v>
      </c>
      <c r="K264" s="5">
        <v>0.0</v>
      </c>
      <c r="L264" s="5">
        <f t="shared" si="3"/>
        <v>30000</v>
      </c>
      <c r="M264" s="5">
        <f>IFNA(VLOOKUP(TRIM(E264),Master!D:U,13,0),"")</f>
        <v>2000</v>
      </c>
      <c r="N264" s="5">
        <f t="shared" si="4"/>
        <v>10000</v>
      </c>
      <c r="O264" s="16" t="s">
        <v>28</v>
      </c>
      <c r="P264" s="5">
        <f t="shared" si="5"/>
        <v>33.33333333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3" t="s">
        <v>216</v>
      </c>
      <c r="B265" s="13" t="s">
        <v>227</v>
      </c>
      <c r="C265" s="14"/>
      <c r="D265" s="15">
        <v>1.0</v>
      </c>
      <c r="E265" s="1" t="s">
        <v>29</v>
      </c>
      <c r="F265" s="1" t="str">
        <f t="shared" si="1"/>
        <v>12/02/26PL3028</v>
      </c>
      <c r="G265" s="1" t="str">
        <f t="shared" si="2"/>
        <v>C12/02/26</v>
      </c>
      <c r="H265" s="1" t="str">
        <f>IFNA(VLOOKUP(TRIM(E265),Master!D:M,4,0),"")</f>
        <v>KAWAT BONSAI HITAM NO.2 ECERAN</v>
      </c>
      <c r="I265" s="16">
        <v>5.0</v>
      </c>
      <c r="J265" s="5">
        <f>IFNA(VLOOKUP(E265,Master!D:U,14,0),0)</f>
        <v>2000</v>
      </c>
      <c r="K265" s="5">
        <v>0.0</v>
      </c>
      <c r="L265" s="5">
        <f t="shared" si="3"/>
        <v>10000</v>
      </c>
      <c r="M265" s="5">
        <f>IFNA(VLOOKUP(TRIM(E265),Master!D:U,13,0),"")</f>
        <v>1220</v>
      </c>
      <c r="N265" s="5">
        <f t="shared" si="4"/>
        <v>3900</v>
      </c>
      <c r="O265" s="4" t="s">
        <v>19</v>
      </c>
      <c r="P265" s="5">
        <f t="shared" si="5"/>
        <v>39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3" t="s">
        <v>216</v>
      </c>
      <c r="B266" s="13" t="s">
        <v>227</v>
      </c>
      <c r="C266" s="14"/>
      <c r="D266" s="15">
        <v>1.0</v>
      </c>
      <c r="E266" s="1" t="s">
        <v>115</v>
      </c>
      <c r="F266" s="1" t="str">
        <f t="shared" si="1"/>
        <v>12/02/26MT2022</v>
      </c>
      <c r="G266" s="1" t="str">
        <f t="shared" si="2"/>
        <v>C12/02/26</v>
      </c>
      <c r="H266" s="1" t="str">
        <f>IFNA(VLOOKUP(TRIM(E266),Master!D:M,4,0),"")</f>
        <v>PASIR MALANG 10KG</v>
      </c>
      <c r="I266" s="4">
        <v>1.0</v>
      </c>
      <c r="J266" s="5">
        <f>IFNA(VLOOKUP(E266,Master!D:U,14,0),0)</f>
        <v>15000</v>
      </c>
      <c r="K266" s="5">
        <v>0.0</v>
      </c>
      <c r="L266" s="5">
        <f t="shared" si="3"/>
        <v>15000</v>
      </c>
      <c r="M266" s="5">
        <f>IFNA(VLOOKUP(TRIM(E266),Master!D:U,13,0),"")</f>
        <v>8000</v>
      </c>
      <c r="N266" s="5">
        <f t="shared" si="4"/>
        <v>7000</v>
      </c>
      <c r="O266" s="4" t="s">
        <v>19</v>
      </c>
      <c r="P266" s="5">
        <f t="shared" si="5"/>
        <v>46.66666667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3" t="s">
        <v>216</v>
      </c>
      <c r="B267" s="2"/>
      <c r="C267" s="14"/>
      <c r="D267" s="3"/>
      <c r="E267" s="1" t="s">
        <v>215</v>
      </c>
      <c r="F267" s="1" t="str">
        <f t="shared" si="1"/>
        <v>12/02/26MT2040</v>
      </c>
      <c r="G267" s="1" t="str">
        <f t="shared" si="2"/>
        <v>C12/02/26</v>
      </c>
      <c r="H267" s="1" t="str">
        <f>IFNA(VLOOKUP(TRIM(E267),Master!D:M,4,0),"")</f>
        <v>SEKAM BAKAR 25KG</v>
      </c>
      <c r="I267" s="4">
        <v>1.0</v>
      </c>
      <c r="J267" s="5">
        <f>IFNA(VLOOKUP(E267,Master!D:U,14,0),0)</f>
        <v>25000</v>
      </c>
      <c r="K267" s="5">
        <v>0.0</v>
      </c>
      <c r="L267" s="5">
        <f t="shared" si="3"/>
        <v>25000</v>
      </c>
      <c r="M267" s="5">
        <f>IFNA(VLOOKUP(TRIM(E267),Master!D:U,13,0),"")</f>
        <v>17000</v>
      </c>
      <c r="N267" s="5">
        <f t="shared" si="4"/>
        <v>8000</v>
      </c>
      <c r="O267" s="16" t="s">
        <v>19</v>
      </c>
      <c r="P267" s="5">
        <f t="shared" si="5"/>
        <v>32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3" t="s">
        <v>216</v>
      </c>
      <c r="B268" s="13" t="s">
        <v>228</v>
      </c>
      <c r="C268" s="14"/>
      <c r="D268" s="15">
        <v>1.0</v>
      </c>
      <c r="E268" s="1" t="s">
        <v>37</v>
      </c>
      <c r="F268" s="1" t="str">
        <f t="shared" si="1"/>
        <v>12/02/26MT2050</v>
      </c>
      <c r="G268" s="1" t="str">
        <f t="shared" si="2"/>
        <v>T12/02/26</v>
      </c>
      <c r="H268" s="1" t="str">
        <f>IFNA(VLOOKUP(TRIM(E268),Master!D:M,4,0),"")</f>
        <v>TANAH SUBUR 10KG BINTANG TANI</v>
      </c>
      <c r="I268" s="4">
        <v>1.0</v>
      </c>
      <c r="J268" s="5">
        <f>IFNA(VLOOKUP(E268,Master!D:U,14,0),0)</f>
        <v>10000</v>
      </c>
      <c r="K268" s="5">
        <v>0.0</v>
      </c>
      <c r="L268" s="5">
        <f t="shared" si="3"/>
        <v>10000</v>
      </c>
      <c r="M268" s="5">
        <f>IFNA(VLOOKUP(TRIM(E268),Master!D:U,13,0),"")</f>
        <v>6000</v>
      </c>
      <c r="N268" s="5">
        <f t="shared" si="4"/>
        <v>4000</v>
      </c>
      <c r="O268" s="16" t="s">
        <v>77</v>
      </c>
      <c r="P268" s="5">
        <f t="shared" si="5"/>
        <v>40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3" t="s">
        <v>216</v>
      </c>
      <c r="B269" s="13" t="s">
        <v>229</v>
      </c>
      <c r="C269" s="14"/>
      <c r="D269" s="15">
        <v>1.0</v>
      </c>
      <c r="E269" s="1" t="s">
        <v>37</v>
      </c>
      <c r="F269" s="1" t="str">
        <f t="shared" si="1"/>
        <v>12/02/26MT2050</v>
      </c>
      <c r="G269" s="1" t="str">
        <f t="shared" si="2"/>
        <v>C12/02/26</v>
      </c>
      <c r="H269" s="1" t="str">
        <f>IFNA(VLOOKUP(TRIM(E269),Master!D:M,4,0),"")</f>
        <v>TANAH SUBUR 10KG BINTANG TANI</v>
      </c>
      <c r="I269" s="4">
        <v>1.0</v>
      </c>
      <c r="J269" s="5">
        <f>IFNA(VLOOKUP(E269,Master!D:U,14,0),0)</f>
        <v>10000</v>
      </c>
      <c r="K269" s="5">
        <v>0.0</v>
      </c>
      <c r="L269" s="5">
        <f t="shared" si="3"/>
        <v>10000</v>
      </c>
      <c r="M269" s="5">
        <f>IFNA(VLOOKUP(TRIM(E269),Master!D:U,13,0),"")</f>
        <v>6000</v>
      </c>
      <c r="N269" s="5">
        <f t="shared" si="4"/>
        <v>4000</v>
      </c>
      <c r="O269" s="16" t="s">
        <v>19</v>
      </c>
      <c r="P269" s="5">
        <f t="shared" si="5"/>
        <v>40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3" t="s">
        <v>216</v>
      </c>
      <c r="B270" s="2"/>
      <c r="C270" s="14"/>
      <c r="D270" s="3"/>
      <c r="E270" s="1" t="s">
        <v>193</v>
      </c>
      <c r="F270" s="1" t="str">
        <f t="shared" si="1"/>
        <v>12/02/26PK5026</v>
      </c>
      <c r="G270" s="1" t="str">
        <f t="shared" si="2"/>
        <v>C12/02/26</v>
      </c>
      <c r="H270" s="1" t="str">
        <f>IFNA(VLOOKUP(TRIM(E270),Master!D:M,4,0),"")</f>
        <v>MKP PAK TANI 1KG</v>
      </c>
      <c r="I270" s="4">
        <v>1.0</v>
      </c>
      <c r="J270" s="5">
        <f>IFNA(VLOOKUP(E270,Master!D:U,14,0),0)</f>
        <v>60000</v>
      </c>
      <c r="K270" s="5">
        <v>0.0</v>
      </c>
      <c r="L270" s="5">
        <f t="shared" si="3"/>
        <v>60000</v>
      </c>
      <c r="M270" s="5">
        <f>IFNA(VLOOKUP(TRIM(E270),Master!D:U,13,0),"")</f>
        <v>51000</v>
      </c>
      <c r="N270" s="5">
        <f t="shared" si="4"/>
        <v>9000</v>
      </c>
      <c r="O270" s="4" t="s">
        <v>19</v>
      </c>
      <c r="P270" s="5">
        <f t="shared" si="5"/>
        <v>15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3" t="s">
        <v>216</v>
      </c>
      <c r="B271" s="2"/>
      <c r="C271" s="14"/>
      <c r="D271" s="3"/>
      <c r="E271" s="1" t="s">
        <v>91</v>
      </c>
      <c r="F271" s="1" t="str">
        <f t="shared" si="1"/>
        <v>12/02/26PK5048</v>
      </c>
      <c r="G271" s="1" t="str">
        <f t="shared" si="2"/>
        <v>C12/02/26</v>
      </c>
      <c r="H271" s="1" t="str">
        <f>IFNA(VLOOKUP(TRIM(E271),Master!D:M,4,0),"")</f>
        <v>PUPUK MUTIARA 161616 100GR RPK</v>
      </c>
      <c r="I271" s="4">
        <v>1.0</v>
      </c>
      <c r="J271" s="5">
        <f>IFNA(VLOOKUP(E271,Master!D:U,14,0),0)</f>
        <v>3000</v>
      </c>
      <c r="K271" s="5">
        <v>0.0</v>
      </c>
      <c r="L271" s="5">
        <f t="shared" si="3"/>
        <v>3000</v>
      </c>
      <c r="M271" s="5">
        <f>IFNA(VLOOKUP(TRIM(E271),Master!D:U,13,0),"")</f>
        <v>1900</v>
      </c>
      <c r="N271" s="5">
        <f t="shared" si="4"/>
        <v>1100</v>
      </c>
      <c r="O271" s="4" t="s">
        <v>19</v>
      </c>
      <c r="P271" s="5">
        <f t="shared" si="5"/>
        <v>36.66666667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3" t="s">
        <v>216</v>
      </c>
      <c r="B272" s="13" t="s">
        <v>230</v>
      </c>
      <c r="C272" s="14"/>
      <c r="D272" s="15">
        <v>1.0</v>
      </c>
      <c r="E272" s="1" t="s">
        <v>60</v>
      </c>
      <c r="F272" s="1" t="str">
        <f t="shared" si="1"/>
        <v>12/02/26PK5066</v>
      </c>
      <c r="G272" s="1" t="str">
        <f t="shared" si="2"/>
        <v>O12/02/26</v>
      </c>
      <c r="H272" s="1" t="str">
        <f>IFNA(VLOOKUP(TRIM(E272),Master!D:M,4,0),"")</f>
        <v>PUPUK XPK 1KG</v>
      </c>
      <c r="I272" s="16">
        <v>3.0</v>
      </c>
      <c r="J272" s="5">
        <f>IFNA(VLOOKUP(E272,Master!D:U,14,0),0)</f>
        <v>90000</v>
      </c>
      <c r="K272" s="5">
        <v>0.0</v>
      </c>
      <c r="L272" s="5">
        <f t="shared" si="3"/>
        <v>270000</v>
      </c>
      <c r="M272" s="5">
        <f>IFNA(VLOOKUP(TRIM(E272),Master!D:U,13,0),"")</f>
        <v>75000</v>
      </c>
      <c r="N272" s="5">
        <f t="shared" si="4"/>
        <v>45000</v>
      </c>
      <c r="O272" s="16" t="s">
        <v>28</v>
      </c>
      <c r="P272" s="5">
        <f t="shared" si="5"/>
        <v>16.66666667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3" t="s">
        <v>216</v>
      </c>
      <c r="B273" s="2"/>
      <c r="C273" s="14"/>
      <c r="D273" s="3"/>
      <c r="E273" s="1" t="s">
        <v>22</v>
      </c>
      <c r="F273" s="1" t="str">
        <f t="shared" si="1"/>
        <v>12/02/26MT2037</v>
      </c>
      <c r="G273" s="1" t="str">
        <f t="shared" si="2"/>
        <v>O12/02/26</v>
      </c>
      <c r="H273" s="1" t="str">
        <f>IFNA(VLOOKUP(TRIM(E273),Master!D:M,4,0),"")</f>
        <v>PUPUK KOMPOS 5KG</v>
      </c>
      <c r="I273" s="4">
        <v>1.0</v>
      </c>
      <c r="J273" s="5">
        <f>IFNA(VLOOKUP(E273,Master!D:U,14,0),0)</f>
        <v>10000</v>
      </c>
      <c r="K273" s="5">
        <v>0.0</v>
      </c>
      <c r="L273" s="5">
        <f t="shared" si="3"/>
        <v>10000</v>
      </c>
      <c r="M273" s="5">
        <f>IFNA(VLOOKUP(TRIM(E273),Master!D:U,13,0),"")</f>
        <v>5000</v>
      </c>
      <c r="N273" s="5">
        <f t="shared" si="4"/>
        <v>5000</v>
      </c>
      <c r="O273" s="16" t="s">
        <v>28</v>
      </c>
      <c r="P273" s="5">
        <f t="shared" si="5"/>
        <v>50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3" t="s">
        <v>231</v>
      </c>
      <c r="B274" s="13" t="s">
        <v>65</v>
      </c>
      <c r="C274" s="14"/>
      <c r="D274" s="15">
        <v>1.0</v>
      </c>
      <c r="E274" s="1" t="s">
        <v>34</v>
      </c>
      <c r="F274" s="1" t="str">
        <f t="shared" si="1"/>
        <v>13/02/26MT2053</v>
      </c>
      <c r="G274" s="1" t="str">
        <f t="shared" si="2"/>
        <v>C13/02/26</v>
      </c>
      <c r="H274" s="1" t="str">
        <f>IFNA(VLOOKUP(TRIM(E274),Master!D:M,4,0),"")</f>
        <v>TANAH SUBUR 25KG BINTANG TANI</v>
      </c>
      <c r="I274" s="4">
        <v>1.0</v>
      </c>
      <c r="J274" s="5">
        <f>IFNA(VLOOKUP(E274,Master!D:U,14,0),0)</f>
        <v>25000</v>
      </c>
      <c r="K274" s="5">
        <v>0.0</v>
      </c>
      <c r="L274" s="5">
        <f t="shared" si="3"/>
        <v>25000</v>
      </c>
      <c r="M274" s="5">
        <f>IFNA(VLOOKUP(TRIM(E274),Master!D:U,13,0),"")</f>
        <v>15000</v>
      </c>
      <c r="N274" s="5">
        <f t="shared" si="4"/>
        <v>10000</v>
      </c>
      <c r="O274" s="16" t="s">
        <v>19</v>
      </c>
      <c r="P274" s="5">
        <f t="shared" si="5"/>
        <v>40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3" t="s">
        <v>231</v>
      </c>
      <c r="B275" s="2"/>
      <c r="C275" s="14"/>
      <c r="D275" s="3"/>
      <c r="E275" s="1" t="s">
        <v>45</v>
      </c>
      <c r="F275" s="1" t="str">
        <f t="shared" si="1"/>
        <v>13/02/26MT2008</v>
      </c>
      <c r="G275" s="1" t="str">
        <f t="shared" si="2"/>
        <v>C13/02/26</v>
      </c>
      <c r="H275" s="1" t="str">
        <f>IFNA(VLOOKUP(TRIM(E275),Master!D:M,4,0),"")</f>
        <v>COCOPEAT NON FERMENTASI 10KG</v>
      </c>
      <c r="I275" s="4">
        <v>1.0</v>
      </c>
      <c r="J275" s="5">
        <f>IFNA(VLOOKUP(E275,Master!D:U,14,0),0)</f>
        <v>10000</v>
      </c>
      <c r="K275" s="18">
        <v>-5000.0</v>
      </c>
      <c r="L275" s="5">
        <f t="shared" si="3"/>
        <v>15000</v>
      </c>
      <c r="M275" s="5">
        <f>IFNA(VLOOKUP(TRIM(E275),Master!D:U,13,0),"")</f>
        <v>6000</v>
      </c>
      <c r="N275" s="5">
        <f t="shared" si="4"/>
        <v>9000</v>
      </c>
      <c r="O275" s="4" t="s">
        <v>19</v>
      </c>
      <c r="P275" s="5">
        <f t="shared" si="5"/>
        <v>40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3" t="s">
        <v>231</v>
      </c>
      <c r="B276" s="2"/>
      <c r="C276" s="14"/>
      <c r="D276" s="3"/>
      <c r="E276" s="1" t="s">
        <v>94</v>
      </c>
      <c r="F276" s="1" t="str">
        <f t="shared" si="1"/>
        <v>13/02/26MT2039</v>
      </c>
      <c r="G276" s="1" t="str">
        <f t="shared" si="2"/>
        <v>C13/02/26</v>
      </c>
      <c r="H276" s="1" t="str">
        <f>IFNA(VLOOKUP(TRIM(E276),Master!D:M,4,0),"")</f>
        <v>SEKAM BAKAR 10KG</v>
      </c>
      <c r="I276" s="4">
        <v>1.0</v>
      </c>
      <c r="J276" s="5">
        <f>IFNA(VLOOKUP(E276,Master!D:U,14,0),0)</f>
        <v>12000</v>
      </c>
      <c r="K276" s="5">
        <v>0.0</v>
      </c>
      <c r="L276" s="5">
        <f t="shared" si="3"/>
        <v>12000</v>
      </c>
      <c r="M276" s="5">
        <f>IFNA(VLOOKUP(TRIM(E276),Master!D:U,13,0),"")</f>
        <v>6000</v>
      </c>
      <c r="N276" s="5">
        <f t="shared" si="4"/>
        <v>6000</v>
      </c>
      <c r="O276" s="4" t="s">
        <v>19</v>
      </c>
      <c r="P276" s="5">
        <f t="shared" si="5"/>
        <v>50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3" t="s">
        <v>231</v>
      </c>
      <c r="B277" s="2"/>
      <c r="C277" s="14"/>
      <c r="D277" s="3"/>
      <c r="E277" s="1" t="s">
        <v>18</v>
      </c>
      <c r="F277" s="1" t="str">
        <f t="shared" si="1"/>
        <v>13/02/26PK5043</v>
      </c>
      <c r="G277" s="1" t="str">
        <f t="shared" si="2"/>
        <v>C13/02/26</v>
      </c>
      <c r="H277" s="1" t="str">
        <f>IFNA(VLOOKUP(TRIM(E277),Master!D:M,4,0),"")</f>
        <v>PUPUK KAMBING 5KG</v>
      </c>
      <c r="I277" s="4">
        <v>1.0</v>
      </c>
      <c r="J277" s="5">
        <f>IFNA(VLOOKUP(E277,Master!D:U,14,0),0)</f>
        <v>15000</v>
      </c>
      <c r="K277" s="5">
        <v>0.0</v>
      </c>
      <c r="L277" s="5">
        <f t="shared" si="3"/>
        <v>15000</v>
      </c>
      <c r="M277" s="5">
        <f>IFNA(VLOOKUP(TRIM(E277),Master!D:U,13,0),"")</f>
        <v>8000</v>
      </c>
      <c r="N277" s="5">
        <f t="shared" si="4"/>
        <v>7000</v>
      </c>
      <c r="O277" s="16" t="s">
        <v>19</v>
      </c>
      <c r="P277" s="5">
        <f t="shared" si="5"/>
        <v>46.66666667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3" t="s">
        <v>231</v>
      </c>
      <c r="B278" s="2"/>
      <c r="C278" s="14"/>
      <c r="D278" s="3"/>
      <c r="E278" s="20" t="s">
        <v>186</v>
      </c>
      <c r="F278" s="1" t="str">
        <f t="shared" si="1"/>
        <v>13/02/26PL3158</v>
      </c>
      <c r="G278" s="1" t="str">
        <f t="shared" si="2"/>
        <v>C13/02/26</v>
      </c>
      <c r="H278" s="1" t="str">
        <f>IFNA(VLOOKUP(TRIM(E278),Master!D:M,4,0),"")</f>
        <v>POT GMP HITAM 17 POLOS</v>
      </c>
      <c r="I278" s="4">
        <v>1.0</v>
      </c>
      <c r="J278" s="5">
        <f>IFNA(VLOOKUP(E278,Master!D:U,14,0),0)</f>
        <v>2500</v>
      </c>
      <c r="K278" s="5">
        <v>0.0</v>
      </c>
      <c r="L278" s="5">
        <f t="shared" si="3"/>
        <v>2500</v>
      </c>
      <c r="M278" s="5">
        <f>IFNA(VLOOKUP(TRIM(E278),Master!D:U,13,0),"")</f>
        <v>1875</v>
      </c>
      <c r="N278" s="5">
        <f t="shared" si="4"/>
        <v>625</v>
      </c>
      <c r="O278" s="4" t="s">
        <v>19</v>
      </c>
      <c r="P278" s="5">
        <f t="shared" si="5"/>
        <v>25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3" t="s">
        <v>231</v>
      </c>
      <c r="B279" s="2"/>
      <c r="C279" s="14"/>
      <c r="D279" s="3"/>
      <c r="E279" s="20" t="s">
        <v>232</v>
      </c>
      <c r="F279" s="1" t="str">
        <f t="shared" si="1"/>
        <v>13/02/26PL3160</v>
      </c>
      <c r="G279" s="1" t="str">
        <f t="shared" si="2"/>
        <v>C13/02/26</v>
      </c>
      <c r="H279" s="1" t="str">
        <f>IFNA(VLOOKUP(TRIM(E279),Master!D:M,4,0),"")</f>
        <v>POT GMP HITAM 25 POLOS</v>
      </c>
      <c r="I279" s="4">
        <v>1.0</v>
      </c>
      <c r="J279" s="5">
        <f>IFNA(VLOOKUP(E279,Master!D:U,14,0),0)</f>
        <v>5500</v>
      </c>
      <c r="K279" s="5">
        <v>0.0</v>
      </c>
      <c r="L279" s="5">
        <f t="shared" si="3"/>
        <v>5500</v>
      </c>
      <c r="M279" s="5">
        <f>IFNA(VLOOKUP(TRIM(E279),Master!D:U,13,0),"")</f>
        <v>3750</v>
      </c>
      <c r="N279" s="5">
        <f t="shared" si="4"/>
        <v>1750</v>
      </c>
      <c r="O279" s="16" t="s">
        <v>19</v>
      </c>
      <c r="P279" s="5">
        <f t="shared" si="5"/>
        <v>31.81818182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3" t="s">
        <v>231</v>
      </c>
      <c r="B280" s="13" t="s">
        <v>233</v>
      </c>
      <c r="C280" s="14"/>
      <c r="D280" s="15">
        <v>1.0</v>
      </c>
      <c r="E280" s="1" t="s">
        <v>177</v>
      </c>
      <c r="F280" s="1" t="str">
        <f t="shared" si="1"/>
        <v>13/02/26PL3069</v>
      </c>
      <c r="G280" s="1" t="str">
        <f t="shared" si="2"/>
        <v>C13/02/26</v>
      </c>
      <c r="H280" s="1" t="str">
        <f>IFNA(VLOOKUP(TRIM(E280),Master!D:M,4,0),"")</f>
        <v>DC 25X25</v>
      </c>
      <c r="I280" s="4">
        <v>1.0</v>
      </c>
      <c r="J280" s="5">
        <f>IFNA(VLOOKUP(E280,Master!D:U,14,0),0)</f>
        <v>13000</v>
      </c>
      <c r="K280" s="5">
        <v>0.0</v>
      </c>
      <c r="L280" s="5">
        <f t="shared" si="3"/>
        <v>13000</v>
      </c>
      <c r="M280" s="5">
        <f>IFNA(VLOOKUP(TRIM(E280),Master!D:U,13,0),"")</f>
        <v>8000</v>
      </c>
      <c r="N280" s="5">
        <f t="shared" si="4"/>
        <v>5000</v>
      </c>
      <c r="O280" s="4" t="s">
        <v>19</v>
      </c>
      <c r="P280" s="5">
        <f t="shared" si="5"/>
        <v>38.46153846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3" t="s">
        <v>231</v>
      </c>
      <c r="B281" s="2"/>
      <c r="C281" s="14"/>
      <c r="D281" s="3"/>
      <c r="E281" s="1" t="s">
        <v>234</v>
      </c>
      <c r="F281" s="1" t="str">
        <f t="shared" si="1"/>
        <v>13/02/26PL3070</v>
      </c>
      <c r="G281" s="1" t="str">
        <f t="shared" si="2"/>
        <v>C13/02/26</v>
      </c>
      <c r="H281" s="1" t="str">
        <f>IFNA(VLOOKUP(TRIM(E281),Master!D:M,4,0),"")</f>
        <v>DC 33X33</v>
      </c>
      <c r="I281" s="4">
        <v>1.0</v>
      </c>
      <c r="J281" s="5">
        <f>IFNA(VLOOKUP(E281,Master!D:U,14,0),0)</f>
        <v>17000</v>
      </c>
      <c r="K281" s="5">
        <v>0.0</v>
      </c>
      <c r="L281" s="5">
        <f t="shared" si="3"/>
        <v>17000</v>
      </c>
      <c r="M281" s="5">
        <f>IFNA(VLOOKUP(TRIM(E281),Master!D:U,13,0),"")</f>
        <v>13000</v>
      </c>
      <c r="N281" s="5">
        <f t="shared" si="4"/>
        <v>4000</v>
      </c>
      <c r="O281" s="4" t="s">
        <v>19</v>
      </c>
      <c r="P281" s="5">
        <f t="shared" si="5"/>
        <v>23.52941176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3" t="s">
        <v>231</v>
      </c>
      <c r="B282" s="2"/>
      <c r="C282" s="14"/>
      <c r="D282" s="3"/>
      <c r="E282" s="1" t="s">
        <v>235</v>
      </c>
      <c r="F282" s="1" t="str">
        <f t="shared" si="1"/>
        <v>13/02/26PL3198</v>
      </c>
      <c r="G282" s="1" t="str">
        <f t="shared" si="2"/>
        <v>C13/02/26</v>
      </c>
      <c r="H282" s="1" t="str">
        <f>IFNA(VLOOKUP(TRIM(E282),Master!D:M,4,0),"")</f>
        <v>POT LECI 30 PUTIH</v>
      </c>
      <c r="I282" s="4">
        <v>1.0</v>
      </c>
      <c r="J282" s="5">
        <f>IFNA(VLOOKUP(E282,Master!D:U,14,0),0)</f>
        <v>22000</v>
      </c>
      <c r="K282" s="5">
        <v>0.0</v>
      </c>
      <c r="L282" s="5">
        <f t="shared" si="3"/>
        <v>22000</v>
      </c>
      <c r="M282" s="5">
        <f>IFNA(VLOOKUP(TRIM(E282),Master!D:U,13,0),"")</f>
        <v>16500</v>
      </c>
      <c r="N282" s="5">
        <f t="shared" si="4"/>
        <v>5500</v>
      </c>
      <c r="O282" s="16" t="s">
        <v>19</v>
      </c>
      <c r="P282" s="5">
        <f t="shared" si="5"/>
        <v>25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3" t="s">
        <v>231</v>
      </c>
      <c r="B283" s="2"/>
      <c r="C283" s="14"/>
      <c r="D283" s="3"/>
      <c r="E283" s="1" t="s">
        <v>236</v>
      </c>
      <c r="F283" s="1" t="str">
        <f t="shared" si="1"/>
        <v>13/02/26PL3150</v>
      </c>
      <c r="G283" s="1" t="str">
        <f t="shared" si="2"/>
        <v>C13/02/26</v>
      </c>
      <c r="H283" s="1" t="str">
        <f>IFNA(VLOOKUP(TRIM(E283),Master!D:M,4,0),"")</f>
        <v>POT GMP APEL 22 PUTIH</v>
      </c>
      <c r="I283" s="4">
        <v>1.0</v>
      </c>
      <c r="J283" s="5">
        <f>IFNA(VLOOKUP(E283,Master!D:U,14,0),0)</f>
        <v>10000</v>
      </c>
      <c r="K283" s="5">
        <v>0.0</v>
      </c>
      <c r="L283" s="5">
        <f t="shared" si="3"/>
        <v>10000</v>
      </c>
      <c r="M283" s="5">
        <f>IFNA(VLOOKUP(TRIM(E283),Master!D:U,13,0),"")</f>
        <v>8000</v>
      </c>
      <c r="N283" s="5">
        <f t="shared" si="4"/>
        <v>2000</v>
      </c>
      <c r="O283" s="4" t="s">
        <v>19</v>
      </c>
      <c r="P283" s="5">
        <f t="shared" si="5"/>
        <v>20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3" t="s">
        <v>231</v>
      </c>
      <c r="B284" s="13" t="s">
        <v>182</v>
      </c>
      <c r="C284" s="14"/>
      <c r="D284" s="15">
        <v>1.0</v>
      </c>
      <c r="E284" s="1" t="s">
        <v>34</v>
      </c>
      <c r="F284" s="1" t="str">
        <f t="shared" si="1"/>
        <v>13/02/26MT2053</v>
      </c>
      <c r="G284" s="1" t="str">
        <f t="shared" si="2"/>
        <v>C13/02/26</v>
      </c>
      <c r="H284" s="1" t="str">
        <f>IFNA(VLOOKUP(TRIM(E284),Master!D:M,4,0),"")</f>
        <v>TANAH SUBUR 25KG BINTANG TANI</v>
      </c>
      <c r="I284" s="4">
        <v>1.0</v>
      </c>
      <c r="J284" s="5">
        <f>IFNA(VLOOKUP(E284,Master!D:U,14,0),0)</f>
        <v>25000</v>
      </c>
      <c r="K284" s="5">
        <v>0.0</v>
      </c>
      <c r="L284" s="5">
        <f t="shared" si="3"/>
        <v>25000</v>
      </c>
      <c r="M284" s="5">
        <f>IFNA(VLOOKUP(TRIM(E284),Master!D:U,13,0),"")</f>
        <v>15000</v>
      </c>
      <c r="N284" s="5">
        <f t="shared" si="4"/>
        <v>10000</v>
      </c>
      <c r="O284" s="4" t="s">
        <v>19</v>
      </c>
      <c r="P284" s="5">
        <f t="shared" si="5"/>
        <v>40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3" t="s">
        <v>231</v>
      </c>
      <c r="B285" s="13" t="s">
        <v>182</v>
      </c>
      <c r="C285" s="14"/>
      <c r="D285" s="15">
        <v>1.0</v>
      </c>
      <c r="E285" s="1" t="s">
        <v>34</v>
      </c>
      <c r="F285" s="1" t="str">
        <f t="shared" si="1"/>
        <v>13/02/26MT2053</v>
      </c>
      <c r="G285" s="1" t="str">
        <f t="shared" si="2"/>
        <v>C13/02/26</v>
      </c>
      <c r="H285" s="1" t="str">
        <f>IFNA(VLOOKUP(TRIM(E285),Master!D:M,4,0),"")</f>
        <v>TANAH SUBUR 25KG BINTANG TANI</v>
      </c>
      <c r="I285" s="4">
        <v>1.0</v>
      </c>
      <c r="J285" s="5">
        <f>IFNA(VLOOKUP(E285,Master!D:U,14,0),0)</f>
        <v>25000</v>
      </c>
      <c r="K285" s="5">
        <v>0.0</v>
      </c>
      <c r="L285" s="5">
        <f t="shared" si="3"/>
        <v>25000</v>
      </c>
      <c r="M285" s="5">
        <f>IFNA(VLOOKUP(TRIM(E285),Master!D:U,13,0),"")</f>
        <v>15000</v>
      </c>
      <c r="N285" s="5">
        <f t="shared" si="4"/>
        <v>10000</v>
      </c>
      <c r="O285" s="16" t="s">
        <v>19</v>
      </c>
      <c r="P285" s="5">
        <f t="shared" si="5"/>
        <v>40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3" t="s">
        <v>231</v>
      </c>
      <c r="B286" s="2"/>
      <c r="C286" s="14"/>
      <c r="D286" s="3"/>
      <c r="E286" s="1" t="s">
        <v>220</v>
      </c>
      <c r="F286" s="1" t="str">
        <f t="shared" si="1"/>
        <v>13/02/26MT2024</v>
      </c>
      <c r="G286" s="1" t="str">
        <f t="shared" si="2"/>
        <v>C13/02/26</v>
      </c>
      <c r="H286" s="1" t="str">
        <f>IFNA(VLOOKUP(TRIM(E286),Master!D:M,4,0),"")</f>
        <v>PASIR MALANG 25KG</v>
      </c>
      <c r="I286" s="4">
        <v>1.0</v>
      </c>
      <c r="J286" s="5">
        <f>IFNA(VLOOKUP(E286,Master!D:U,14,0),0)</f>
        <v>35000</v>
      </c>
      <c r="K286" s="5">
        <v>0.0</v>
      </c>
      <c r="L286" s="5">
        <f t="shared" si="3"/>
        <v>35000</v>
      </c>
      <c r="M286" s="5">
        <f>IFNA(VLOOKUP(TRIM(E286),Master!D:U,13,0),"")</f>
        <v>25000</v>
      </c>
      <c r="N286" s="5">
        <f t="shared" si="4"/>
        <v>10000</v>
      </c>
      <c r="O286" s="4" t="s">
        <v>19</v>
      </c>
      <c r="P286" s="5">
        <f t="shared" si="5"/>
        <v>28.57142857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3" t="s">
        <v>231</v>
      </c>
      <c r="B287" s="2"/>
      <c r="C287" s="14"/>
      <c r="D287" s="3"/>
      <c r="E287" s="1" t="s">
        <v>169</v>
      </c>
      <c r="F287" s="1" t="str">
        <f t="shared" si="1"/>
        <v>13/02/26MT2035</v>
      </c>
      <c r="G287" s="1" t="str">
        <f t="shared" si="2"/>
        <v>C13/02/26</v>
      </c>
      <c r="H287" s="1" t="str">
        <f>IFNA(VLOOKUP(TRIM(E287),Master!D:M,4,0),"")</f>
        <v>PUPUK KAMBING BUTIRAN</v>
      </c>
      <c r="I287" s="4">
        <v>1.0</v>
      </c>
      <c r="J287" s="5">
        <f>IFNA(VLOOKUP(E287,Master!D:U,14,0),0)</f>
        <v>15000</v>
      </c>
      <c r="K287" s="5">
        <v>0.0</v>
      </c>
      <c r="L287" s="5">
        <f t="shared" si="3"/>
        <v>15000</v>
      </c>
      <c r="M287" s="5">
        <f>IFNA(VLOOKUP(TRIM(E287),Master!D:U,13,0),"")</f>
        <v>8000</v>
      </c>
      <c r="N287" s="5">
        <f t="shared" si="4"/>
        <v>7000</v>
      </c>
      <c r="O287" s="16" t="s">
        <v>19</v>
      </c>
      <c r="P287" s="5">
        <f t="shared" si="5"/>
        <v>46.66666667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3" t="s">
        <v>231</v>
      </c>
      <c r="B288" s="13" t="s">
        <v>182</v>
      </c>
      <c r="C288" s="14"/>
      <c r="D288" s="15">
        <v>1.0</v>
      </c>
      <c r="E288" s="1" t="s">
        <v>18</v>
      </c>
      <c r="F288" s="1" t="str">
        <f t="shared" si="1"/>
        <v>13/02/26PK5043</v>
      </c>
      <c r="G288" s="1" t="str">
        <f t="shared" si="2"/>
        <v>C13/02/26</v>
      </c>
      <c r="H288" s="1" t="str">
        <f>IFNA(VLOOKUP(TRIM(E288),Master!D:M,4,0),"")</f>
        <v>PUPUK KAMBING 5KG</v>
      </c>
      <c r="I288" s="4">
        <v>1.0</v>
      </c>
      <c r="J288" s="5">
        <f>IFNA(VLOOKUP(E288,Master!D:U,14,0),0)</f>
        <v>15000</v>
      </c>
      <c r="K288" s="5">
        <v>0.0</v>
      </c>
      <c r="L288" s="5">
        <f t="shared" si="3"/>
        <v>15000</v>
      </c>
      <c r="M288" s="5">
        <f>IFNA(VLOOKUP(TRIM(E288),Master!D:U,13,0),"")</f>
        <v>8000</v>
      </c>
      <c r="N288" s="5">
        <f t="shared" si="4"/>
        <v>7000</v>
      </c>
      <c r="O288" s="4" t="s">
        <v>19</v>
      </c>
      <c r="P288" s="5">
        <f t="shared" si="5"/>
        <v>46.66666667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3" t="s">
        <v>231</v>
      </c>
      <c r="B289" s="2"/>
      <c r="C289" s="14"/>
      <c r="D289" s="3"/>
      <c r="E289" s="1" t="s">
        <v>96</v>
      </c>
      <c r="F289" s="1" t="str">
        <f t="shared" si="1"/>
        <v>13/02/26PL3073</v>
      </c>
      <c r="G289" s="1" t="str">
        <f t="shared" si="2"/>
        <v>C13/02/26</v>
      </c>
      <c r="H289" s="1" t="str">
        <f>IFNA(VLOOKUP(TRIM(E289),Master!D:M,4,0),"")</f>
        <v>GERGAJI BONSAI MINI</v>
      </c>
      <c r="I289" s="4">
        <v>1.0</v>
      </c>
      <c r="J289" s="5">
        <f>IFNA(VLOOKUP(E289,Master!D:U,14,0),0)</f>
        <v>60000</v>
      </c>
      <c r="K289" s="5">
        <v>0.0</v>
      </c>
      <c r="L289" s="5">
        <f t="shared" si="3"/>
        <v>60000</v>
      </c>
      <c r="M289" s="5">
        <f>IFNA(VLOOKUP(TRIM(E289),Master!D:U,13,0),"")</f>
        <v>37262</v>
      </c>
      <c r="N289" s="5">
        <f t="shared" si="4"/>
        <v>22738</v>
      </c>
      <c r="O289" s="4" t="s">
        <v>19</v>
      </c>
      <c r="P289" s="5">
        <f t="shared" si="5"/>
        <v>37.89666667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3" t="s">
        <v>231</v>
      </c>
      <c r="B290" s="13" t="s">
        <v>237</v>
      </c>
      <c r="C290" s="14"/>
      <c r="D290" s="15">
        <v>1.0</v>
      </c>
      <c r="E290" s="17" t="s">
        <v>66</v>
      </c>
      <c r="F290" s="1" t="str">
        <f t="shared" si="1"/>
        <v>13/02/26PL3038</v>
      </c>
      <c r="G290" s="1" t="str">
        <f t="shared" si="2"/>
        <v>O13/02/26</v>
      </c>
      <c r="H290" s="1" t="str">
        <f>IFNA(VLOOKUP(TRIM(E290),Master!D:M,4,0),"")</f>
        <v>KAWAT BONSAI SILVER NO.1 ECERAN</v>
      </c>
      <c r="I290" s="16">
        <v>10.0</v>
      </c>
      <c r="J290" s="5">
        <f>IFNA(VLOOKUP(E290,Master!D:U,14,0),0)</f>
        <v>500</v>
      </c>
      <c r="K290" s="5">
        <v>0.0</v>
      </c>
      <c r="L290" s="5">
        <f t="shared" si="3"/>
        <v>5000</v>
      </c>
      <c r="M290" s="5">
        <f>IFNA(VLOOKUP(TRIM(E290),Master!D:U,13,0),"")</f>
        <v>267</v>
      </c>
      <c r="N290" s="5">
        <f t="shared" si="4"/>
        <v>2330</v>
      </c>
      <c r="O290" s="16" t="s">
        <v>28</v>
      </c>
      <c r="P290" s="5">
        <f t="shared" si="5"/>
        <v>46.6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3" t="s">
        <v>231</v>
      </c>
      <c r="B291" s="2"/>
      <c r="C291" s="14"/>
      <c r="D291" s="3"/>
      <c r="E291" s="17" t="s">
        <v>66</v>
      </c>
      <c r="F291" s="1" t="str">
        <f t="shared" si="1"/>
        <v>13/02/26PL3038</v>
      </c>
      <c r="G291" s="1" t="str">
        <f t="shared" si="2"/>
        <v>O13/02/26</v>
      </c>
      <c r="H291" s="1" t="str">
        <f>IFNA(VLOOKUP(TRIM(E291),Master!D:M,4,0),"")</f>
        <v>KAWAT BONSAI SILVER NO.1 ECERAN</v>
      </c>
      <c r="I291" s="16">
        <v>10.0</v>
      </c>
      <c r="J291" s="5">
        <f>IFNA(VLOOKUP(E291,Master!D:U,14,0),0)</f>
        <v>500</v>
      </c>
      <c r="K291" s="5">
        <v>0.0</v>
      </c>
      <c r="L291" s="5">
        <f t="shared" si="3"/>
        <v>5000</v>
      </c>
      <c r="M291" s="5">
        <f>IFNA(VLOOKUP(TRIM(E291),Master!D:U,13,0),"")</f>
        <v>267</v>
      </c>
      <c r="N291" s="5">
        <f t="shared" si="4"/>
        <v>2330</v>
      </c>
      <c r="O291" s="16" t="s">
        <v>28</v>
      </c>
      <c r="P291" s="5">
        <f t="shared" si="5"/>
        <v>46.6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3" t="s">
        <v>231</v>
      </c>
      <c r="B292" s="2"/>
      <c r="C292" s="14"/>
      <c r="D292" s="3"/>
      <c r="E292" s="1" t="s">
        <v>33</v>
      </c>
      <c r="F292" s="1" t="str">
        <f t="shared" si="1"/>
        <v>13/02/26PL3040</v>
      </c>
      <c r="G292" s="1" t="str">
        <f t="shared" si="2"/>
        <v>O13/02/26</v>
      </c>
      <c r="H292" s="1" t="str">
        <f>IFNA(VLOOKUP(TRIM(E292),Master!D:M,4,0),"")</f>
        <v>KAWAT BONSAI SILVER NO.1.5 ECERAN</v>
      </c>
      <c r="I292" s="16">
        <v>10.0</v>
      </c>
      <c r="J292" s="5">
        <f>IFNA(VLOOKUP(E292,Master!D:U,14,0),0)</f>
        <v>750</v>
      </c>
      <c r="K292" s="5">
        <v>0.0</v>
      </c>
      <c r="L292" s="5">
        <f t="shared" si="3"/>
        <v>7500</v>
      </c>
      <c r="M292" s="5">
        <f>IFNA(VLOOKUP(TRIM(E292),Master!D:U,13,0),"")</f>
        <v>444</v>
      </c>
      <c r="N292" s="5">
        <f t="shared" si="4"/>
        <v>3060</v>
      </c>
      <c r="O292" s="16" t="s">
        <v>28</v>
      </c>
      <c r="P292" s="5">
        <f t="shared" si="5"/>
        <v>40.8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3" t="s">
        <v>231</v>
      </c>
      <c r="B293" s="2"/>
      <c r="C293" s="14"/>
      <c r="D293" s="3"/>
      <c r="E293" s="17" t="s">
        <v>42</v>
      </c>
      <c r="F293" s="1" t="str">
        <f t="shared" si="1"/>
        <v>13/02/26PL3042</v>
      </c>
      <c r="G293" s="1" t="str">
        <f t="shared" si="2"/>
        <v>O13/02/26</v>
      </c>
      <c r="H293" s="1" t="str">
        <f>IFNA(VLOOKUP(TRIM(E293),Master!D:M,4,0),"")</f>
        <v>KAWAT BONSAI SILVER NO.2 ECERAN</v>
      </c>
      <c r="I293" s="16">
        <v>5.0</v>
      </c>
      <c r="J293" s="5">
        <f>IFNA(VLOOKUP(E293,Master!D:U,14,0),0)</f>
        <v>1500</v>
      </c>
      <c r="K293" s="5">
        <v>0.0</v>
      </c>
      <c r="L293" s="5">
        <f t="shared" si="3"/>
        <v>7500</v>
      </c>
      <c r="M293" s="5">
        <f>IFNA(VLOOKUP(TRIM(E293),Master!D:U,13,0),"")</f>
        <v>800</v>
      </c>
      <c r="N293" s="5">
        <f t="shared" si="4"/>
        <v>3500</v>
      </c>
      <c r="O293" s="16" t="s">
        <v>28</v>
      </c>
      <c r="P293" s="5">
        <f t="shared" si="5"/>
        <v>46.66666667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3" t="s">
        <v>231</v>
      </c>
      <c r="B294" s="2"/>
      <c r="C294" s="14"/>
      <c r="D294" s="3"/>
      <c r="E294" s="17" t="s">
        <v>66</v>
      </c>
      <c r="F294" s="1" t="str">
        <f t="shared" si="1"/>
        <v>13/02/26PL3038</v>
      </c>
      <c r="G294" s="1" t="str">
        <f t="shared" si="2"/>
        <v>O13/02/26</v>
      </c>
      <c r="H294" s="1" t="str">
        <f>IFNA(VLOOKUP(TRIM(E294),Master!D:M,4,0),"")</f>
        <v>KAWAT BONSAI SILVER NO.1 ECERAN</v>
      </c>
      <c r="I294" s="16">
        <v>20.0</v>
      </c>
      <c r="J294" s="5">
        <f>IFNA(VLOOKUP(E294,Master!D:U,14,0),0)</f>
        <v>500</v>
      </c>
      <c r="K294" s="5">
        <v>0.0</v>
      </c>
      <c r="L294" s="5">
        <f t="shared" si="3"/>
        <v>10000</v>
      </c>
      <c r="M294" s="5">
        <f>IFNA(VLOOKUP(TRIM(E294),Master!D:U,13,0),"")</f>
        <v>267</v>
      </c>
      <c r="N294" s="5">
        <f t="shared" si="4"/>
        <v>4660</v>
      </c>
      <c r="O294" s="16" t="s">
        <v>28</v>
      </c>
      <c r="P294" s="5">
        <f t="shared" si="5"/>
        <v>46.6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3" t="s">
        <v>231</v>
      </c>
      <c r="B295" s="2"/>
      <c r="C295" s="14"/>
      <c r="D295" s="3"/>
      <c r="E295" s="1" t="s">
        <v>33</v>
      </c>
      <c r="F295" s="1" t="str">
        <f t="shared" si="1"/>
        <v>13/02/26PL3040</v>
      </c>
      <c r="G295" s="1" t="str">
        <f t="shared" si="2"/>
        <v>O13/02/26</v>
      </c>
      <c r="H295" s="1" t="str">
        <f>IFNA(VLOOKUP(TRIM(E295),Master!D:M,4,0),"")</f>
        <v>KAWAT BONSAI SILVER NO.1.5 ECERAN</v>
      </c>
      <c r="I295" s="16">
        <v>30.0</v>
      </c>
      <c r="J295" s="5">
        <f>IFNA(VLOOKUP(E295,Master!D:U,14,0),0)</f>
        <v>750</v>
      </c>
      <c r="K295" s="5">
        <v>0.0</v>
      </c>
      <c r="L295" s="5">
        <f t="shared" si="3"/>
        <v>22500</v>
      </c>
      <c r="M295" s="5">
        <f>IFNA(VLOOKUP(TRIM(E295),Master!D:U,13,0),"")</f>
        <v>444</v>
      </c>
      <c r="N295" s="5">
        <f t="shared" si="4"/>
        <v>9180</v>
      </c>
      <c r="O295" s="16" t="s">
        <v>28</v>
      </c>
      <c r="P295" s="5">
        <f t="shared" si="5"/>
        <v>40.8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3" t="s">
        <v>231</v>
      </c>
      <c r="B296" s="2"/>
      <c r="C296" s="14"/>
      <c r="D296" s="3"/>
      <c r="E296" s="17" t="s">
        <v>42</v>
      </c>
      <c r="F296" s="1" t="str">
        <f t="shared" si="1"/>
        <v>13/02/26PL3042</v>
      </c>
      <c r="G296" s="1" t="str">
        <f t="shared" si="2"/>
        <v>O13/02/26</v>
      </c>
      <c r="H296" s="1" t="str">
        <f>IFNA(VLOOKUP(TRIM(E296),Master!D:M,4,0),"")</f>
        <v>KAWAT BONSAI SILVER NO.2 ECERAN</v>
      </c>
      <c r="I296" s="16">
        <v>30.0</v>
      </c>
      <c r="J296" s="5">
        <f>IFNA(VLOOKUP(E296,Master!D:U,14,0),0)</f>
        <v>1500</v>
      </c>
      <c r="K296" s="5">
        <v>0.0</v>
      </c>
      <c r="L296" s="5">
        <f t="shared" si="3"/>
        <v>45000</v>
      </c>
      <c r="M296" s="5">
        <f>IFNA(VLOOKUP(TRIM(E296),Master!D:U,13,0),"")</f>
        <v>800</v>
      </c>
      <c r="N296" s="5">
        <f t="shared" si="4"/>
        <v>21000</v>
      </c>
      <c r="O296" s="16" t="s">
        <v>28</v>
      </c>
      <c r="P296" s="5">
        <f t="shared" si="5"/>
        <v>46.66666667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3" t="s">
        <v>231</v>
      </c>
      <c r="B297" s="2"/>
      <c r="C297" s="14"/>
      <c r="D297" s="3"/>
      <c r="E297" s="1" t="s">
        <v>74</v>
      </c>
      <c r="F297" s="1" t="str">
        <f t="shared" si="1"/>
        <v>13/02/26PL3026</v>
      </c>
      <c r="G297" s="1" t="str">
        <f t="shared" si="2"/>
        <v>O13/02/26</v>
      </c>
      <c r="H297" s="1" t="str">
        <f>IFNA(VLOOKUP(TRIM(E297),Master!D:M,4,0),"")</f>
        <v>KAWAT BONSAI HITAM NO.1 ECERAN</v>
      </c>
      <c r="I297" s="4">
        <v>1.0</v>
      </c>
      <c r="J297" s="5">
        <f>IFNA(VLOOKUP(E297,Master!D:U,14,0),0)</f>
        <v>750</v>
      </c>
      <c r="K297" s="5">
        <v>0.0</v>
      </c>
      <c r="L297" s="5">
        <f t="shared" si="3"/>
        <v>750</v>
      </c>
      <c r="M297" s="5">
        <f>IFNA(VLOOKUP(TRIM(E297),Master!D:U,13,0),"")</f>
        <v>407</v>
      </c>
      <c r="N297" s="5">
        <f t="shared" si="4"/>
        <v>343</v>
      </c>
      <c r="O297" s="16" t="s">
        <v>28</v>
      </c>
      <c r="P297" s="5">
        <f t="shared" si="5"/>
        <v>45.73333333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3" t="s">
        <v>231</v>
      </c>
      <c r="B298" s="13" t="s">
        <v>238</v>
      </c>
      <c r="C298" s="14"/>
      <c r="D298" s="15">
        <v>1.0</v>
      </c>
      <c r="E298" s="1" t="s">
        <v>37</v>
      </c>
      <c r="F298" s="1" t="str">
        <f t="shared" si="1"/>
        <v>13/02/26MT2050</v>
      </c>
      <c r="G298" s="1" t="str">
        <f t="shared" si="2"/>
        <v>C13/02/26</v>
      </c>
      <c r="H298" s="1" t="str">
        <f>IFNA(VLOOKUP(TRIM(E298),Master!D:M,4,0),"")</f>
        <v>TANAH SUBUR 10KG BINTANG TANI</v>
      </c>
      <c r="I298" s="4">
        <v>1.0</v>
      </c>
      <c r="J298" s="5">
        <f>IFNA(VLOOKUP(E298,Master!D:U,14,0),0)</f>
        <v>10000</v>
      </c>
      <c r="K298" s="5">
        <v>0.0</v>
      </c>
      <c r="L298" s="5">
        <f t="shared" si="3"/>
        <v>10000</v>
      </c>
      <c r="M298" s="5">
        <f>IFNA(VLOOKUP(TRIM(E298),Master!D:U,13,0),"")</f>
        <v>6000</v>
      </c>
      <c r="N298" s="5">
        <f t="shared" si="4"/>
        <v>4000</v>
      </c>
      <c r="O298" s="16" t="s">
        <v>19</v>
      </c>
      <c r="P298" s="5">
        <f t="shared" si="5"/>
        <v>40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3" t="s">
        <v>231</v>
      </c>
      <c r="B299" s="13" t="s">
        <v>238</v>
      </c>
      <c r="C299" s="14"/>
      <c r="D299" s="15">
        <v>1.0</v>
      </c>
      <c r="E299" s="1" t="s">
        <v>37</v>
      </c>
      <c r="F299" s="1" t="str">
        <f t="shared" si="1"/>
        <v>13/02/26MT2050</v>
      </c>
      <c r="G299" s="1" t="str">
        <f t="shared" si="2"/>
        <v>C13/02/26</v>
      </c>
      <c r="H299" s="1" t="str">
        <f>IFNA(VLOOKUP(TRIM(E299),Master!D:M,4,0),"")</f>
        <v>TANAH SUBUR 10KG BINTANG TANI</v>
      </c>
      <c r="I299" s="16">
        <v>3.0</v>
      </c>
      <c r="J299" s="5">
        <f>IFNA(VLOOKUP(E299,Master!D:U,14,0),0)</f>
        <v>10000</v>
      </c>
      <c r="K299" s="5">
        <v>0.0</v>
      </c>
      <c r="L299" s="5">
        <f t="shared" si="3"/>
        <v>30000</v>
      </c>
      <c r="M299" s="5">
        <f>IFNA(VLOOKUP(TRIM(E299),Master!D:U,13,0),"")</f>
        <v>6000</v>
      </c>
      <c r="N299" s="5">
        <f t="shared" si="4"/>
        <v>12000</v>
      </c>
      <c r="O299" s="4" t="s">
        <v>19</v>
      </c>
      <c r="P299" s="5">
        <f t="shared" si="5"/>
        <v>40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3" t="s">
        <v>231</v>
      </c>
      <c r="B300" s="13" t="s">
        <v>238</v>
      </c>
      <c r="C300" s="14"/>
      <c r="D300" s="15">
        <v>1.0</v>
      </c>
      <c r="E300" s="1" t="s">
        <v>225</v>
      </c>
      <c r="F300" s="1" t="str">
        <f t="shared" si="1"/>
        <v>13/02/26PK5049</v>
      </c>
      <c r="G300" s="1" t="str">
        <f t="shared" si="2"/>
        <v>C13/02/26</v>
      </c>
      <c r="H300" s="1" t="str">
        <f>IFNA(VLOOKUP(TRIM(E300),Master!D:M,4,0),"")</f>
        <v>PUPUK MUTIARA 161616 1KG</v>
      </c>
      <c r="I300" s="4">
        <v>1.0</v>
      </c>
      <c r="J300" s="5">
        <f>IFNA(VLOOKUP(E300,Master!D:U,14,0),0)</f>
        <v>25000</v>
      </c>
      <c r="K300" s="5">
        <v>0.0</v>
      </c>
      <c r="L300" s="5">
        <f t="shared" si="3"/>
        <v>25000</v>
      </c>
      <c r="M300" s="5">
        <f>IFNA(VLOOKUP(TRIM(E300),Master!D:U,13,0),"")</f>
        <v>17600</v>
      </c>
      <c r="N300" s="5">
        <f t="shared" si="4"/>
        <v>7400</v>
      </c>
      <c r="O300" s="4" t="s">
        <v>19</v>
      </c>
      <c r="P300" s="5">
        <f t="shared" si="5"/>
        <v>29.6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3" t="s">
        <v>231</v>
      </c>
      <c r="B301" s="13" t="s">
        <v>239</v>
      </c>
      <c r="C301" s="14"/>
      <c r="D301" s="15">
        <v>1.0</v>
      </c>
      <c r="E301" s="1" t="s">
        <v>45</v>
      </c>
      <c r="F301" s="1" t="str">
        <f t="shared" si="1"/>
        <v>13/02/26MT2008</v>
      </c>
      <c r="G301" s="1" t="str">
        <f t="shared" si="2"/>
        <v>C13/02/26</v>
      </c>
      <c r="H301" s="1" t="str">
        <f>IFNA(VLOOKUP(TRIM(E301),Master!D:M,4,0),"")</f>
        <v>COCOPEAT NON FERMENTASI 10KG</v>
      </c>
      <c r="I301" s="4">
        <v>1.0</v>
      </c>
      <c r="J301" s="5">
        <f>IFNA(VLOOKUP(E301,Master!D:U,14,0),0)</f>
        <v>10000</v>
      </c>
      <c r="K301" s="18">
        <v>-5000.0</v>
      </c>
      <c r="L301" s="5">
        <f t="shared" si="3"/>
        <v>15000</v>
      </c>
      <c r="M301" s="5">
        <f>IFNA(VLOOKUP(TRIM(E301),Master!D:U,13,0),"")</f>
        <v>6000</v>
      </c>
      <c r="N301" s="5">
        <f t="shared" si="4"/>
        <v>9000</v>
      </c>
      <c r="O301" s="16" t="s">
        <v>19</v>
      </c>
      <c r="P301" s="5">
        <f t="shared" si="5"/>
        <v>40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3" t="s">
        <v>231</v>
      </c>
      <c r="B302" s="13" t="s">
        <v>240</v>
      </c>
      <c r="C302" s="14"/>
      <c r="D302" s="15">
        <v>1.0</v>
      </c>
      <c r="E302" s="1" t="s">
        <v>241</v>
      </c>
      <c r="F302" s="1" t="str">
        <f t="shared" si="1"/>
        <v>13/02/26PK5028</v>
      </c>
      <c r="G302" s="1" t="str">
        <f t="shared" si="2"/>
        <v>T13/02/26</v>
      </c>
      <c r="H302" s="1" t="str">
        <f>IFNA(VLOOKUP(TRIM(E302),Master!D:M,4,0),"")</f>
        <v>MOLASE PLUS 2 LT</v>
      </c>
      <c r="I302" s="16">
        <v>3.0</v>
      </c>
      <c r="J302" s="18">
        <v>40000.0</v>
      </c>
      <c r="K302" s="5">
        <v>0.0</v>
      </c>
      <c r="L302" s="5">
        <f t="shared" si="3"/>
        <v>120000</v>
      </c>
      <c r="M302" s="5">
        <f>IFNA(VLOOKUP(TRIM(E302),Master!D:U,13,0),"")</f>
        <v>30000</v>
      </c>
      <c r="N302" s="5">
        <f t="shared" si="4"/>
        <v>30000</v>
      </c>
      <c r="O302" s="16" t="s">
        <v>77</v>
      </c>
      <c r="P302" s="5">
        <f t="shared" si="5"/>
        <v>25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3" t="s">
        <v>231</v>
      </c>
      <c r="B303" s="13" t="s">
        <v>242</v>
      </c>
      <c r="C303" s="14"/>
      <c r="D303" s="15">
        <v>1.0</v>
      </c>
      <c r="E303" s="1" t="s">
        <v>243</v>
      </c>
      <c r="F303" s="1" t="str">
        <f t="shared" si="1"/>
        <v>13/02/26MT2012</v>
      </c>
      <c r="G303" s="1" t="str">
        <f t="shared" si="2"/>
        <v>C13/02/26</v>
      </c>
      <c r="H303" s="1" t="str">
        <f>IFNA(VLOOKUP(TRIM(E303),Master!D:M,4,0),"")</f>
        <v>HUMUS BAMBU 25KG</v>
      </c>
      <c r="I303" s="16">
        <v>2.0</v>
      </c>
      <c r="J303" s="18">
        <v>55000.0</v>
      </c>
      <c r="K303" s="18">
        <v>5000.0</v>
      </c>
      <c r="L303" s="5">
        <f t="shared" si="3"/>
        <v>105000</v>
      </c>
      <c r="M303" s="5">
        <f>IFNA(VLOOKUP(TRIM(E303),Master!D:U,13,0),"")</f>
        <v>30000</v>
      </c>
      <c r="N303" s="5">
        <f t="shared" si="4"/>
        <v>45000</v>
      </c>
      <c r="O303" s="16" t="s">
        <v>19</v>
      </c>
      <c r="P303" s="5">
        <f t="shared" si="5"/>
        <v>45.45454545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3" t="s">
        <v>231</v>
      </c>
      <c r="B304" s="13" t="s">
        <v>244</v>
      </c>
      <c r="C304" s="14"/>
      <c r="D304" s="15">
        <v>1.0</v>
      </c>
      <c r="E304" s="1" t="s">
        <v>78</v>
      </c>
      <c r="F304" s="1" t="str">
        <f t="shared" si="1"/>
        <v>13/02/26MT2003</v>
      </c>
      <c r="G304" s="1" t="str">
        <f t="shared" si="2"/>
        <v>O13/02/26</v>
      </c>
      <c r="H304" s="1" t="str">
        <f>IFNA(VLOOKUP(TRIM(E304),Master!D:M,4,0),"")</f>
        <v>ARANG 5KG</v>
      </c>
      <c r="I304" s="4">
        <v>1.0</v>
      </c>
      <c r="J304" s="5">
        <f>IFNA(VLOOKUP(E304,Master!D:U,14,0),0)</f>
        <v>15000</v>
      </c>
      <c r="K304" s="5">
        <v>0.0</v>
      </c>
      <c r="L304" s="5">
        <f t="shared" si="3"/>
        <v>15000</v>
      </c>
      <c r="M304" s="5">
        <f>IFNA(VLOOKUP(TRIM(E304),Master!D:U,13,0),"")</f>
        <v>8000</v>
      </c>
      <c r="N304" s="5">
        <f t="shared" si="4"/>
        <v>7000</v>
      </c>
      <c r="O304" s="16" t="s">
        <v>28</v>
      </c>
      <c r="P304" s="5">
        <f t="shared" si="5"/>
        <v>46.66666667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3" t="s">
        <v>231</v>
      </c>
      <c r="B305" s="13" t="s">
        <v>245</v>
      </c>
      <c r="C305" s="14"/>
      <c r="D305" s="15">
        <v>1.0</v>
      </c>
      <c r="E305" s="1" t="s">
        <v>37</v>
      </c>
      <c r="F305" s="1" t="str">
        <f t="shared" si="1"/>
        <v>13/02/26MT2050</v>
      </c>
      <c r="G305" s="1" t="str">
        <f t="shared" si="2"/>
        <v>C13/02/26</v>
      </c>
      <c r="H305" s="1" t="str">
        <f>IFNA(VLOOKUP(TRIM(E305),Master!D:M,4,0),"")</f>
        <v>TANAH SUBUR 10KG BINTANG TANI</v>
      </c>
      <c r="I305" s="16">
        <v>2.0</v>
      </c>
      <c r="J305" s="5">
        <f>IFNA(VLOOKUP(E305,Master!D:U,14,0),0)</f>
        <v>10000</v>
      </c>
      <c r="K305" s="5">
        <v>0.0</v>
      </c>
      <c r="L305" s="5">
        <f t="shared" si="3"/>
        <v>20000</v>
      </c>
      <c r="M305" s="5">
        <f>IFNA(VLOOKUP(TRIM(E305),Master!D:U,13,0),"")</f>
        <v>6000</v>
      </c>
      <c r="N305" s="5">
        <f t="shared" si="4"/>
        <v>8000</v>
      </c>
      <c r="O305" s="4" t="s">
        <v>19</v>
      </c>
      <c r="P305" s="5">
        <f t="shared" si="5"/>
        <v>40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3" t="s">
        <v>231</v>
      </c>
      <c r="B306" s="13" t="s">
        <v>245</v>
      </c>
      <c r="C306" s="14"/>
      <c r="D306" s="15">
        <v>1.0</v>
      </c>
      <c r="E306" s="1" t="s">
        <v>18</v>
      </c>
      <c r="F306" s="1" t="str">
        <f t="shared" si="1"/>
        <v>13/02/26PK5043</v>
      </c>
      <c r="G306" s="1" t="str">
        <f t="shared" si="2"/>
        <v>C13/02/26</v>
      </c>
      <c r="H306" s="1" t="str">
        <f>IFNA(VLOOKUP(TRIM(E306),Master!D:M,4,0),"")</f>
        <v>PUPUK KAMBING 5KG</v>
      </c>
      <c r="I306" s="4">
        <v>1.0</v>
      </c>
      <c r="J306" s="5">
        <f>IFNA(VLOOKUP(E306,Master!D:U,14,0),0)</f>
        <v>15000</v>
      </c>
      <c r="K306" s="5">
        <v>0.0</v>
      </c>
      <c r="L306" s="5">
        <f t="shared" si="3"/>
        <v>15000</v>
      </c>
      <c r="M306" s="5">
        <f>IFNA(VLOOKUP(TRIM(E306),Master!D:U,13,0),"")</f>
        <v>8000</v>
      </c>
      <c r="N306" s="5">
        <f t="shared" si="4"/>
        <v>7000</v>
      </c>
      <c r="O306" s="16" t="s">
        <v>19</v>
      </c>
      <c r="P306" s="5">
        <f t="shared" si="5"/>
        <v>46.66666667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3" t="s">
        <v>231</v>
      </c>
      <c r="B307" s="13" t="s">
        <v>245</v>
      </c>
      <c r="C307" s="14"/>
      <c r="D307" s="15">
        <v>1.0</v>
      </c>
      <c r="E307" s="1" t="s">
        <v>37</v>
      </c>
      <c r="F307" s="1" t="str">
        <f t="shared" si="1"/>
        <v>13/02/26MT2050</v>
      </c>
      <c r="G307" s="1" t="str">
        <f t="shared" si="2"/>
        <v>T13/02/26</v>
      </c>
      <c r="H307" s="1" t="str">
        <f>IFNA(VLOOKUP(TRIM(E307),Master!D:M,4,0),"")</f>
        <v>TANAH SUBUR 10KG BINTANG TANI</v>
      </c>
      <c r="I307" s="4">
        <v>1.0</v>
      </c>
      <c r="J307" s="5">
        <f>IFNA(VLOOKUP(E307,Master!D:U,14,0),0)</f>
        <v>10000</v>
      </c>
      <c r="K307" s="5">
        <v>0.0</v>
      </c>
      <c r="L307" s="5">
        <f t="shared" si="3"/>
        <v>10000</v>
      </c>
      <c r="M307" s="5">
        <f>IFNA(VLOOKUP(TRIM(E307),Master!D:U,13,0),"")</f>
        <v>6000</v>
      </c>
      <c r="N307" s="5">
        <f t="shared" si="4"/>
        <v>4000</v>
      </c>
      <c r="O307" s="16" t="s">
        <v>77</v>
      </c>
      <c r="P307" s="5">
        <f t="shared" si="5"/>
        <v>40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3" t="s">
        <v>231</v>
      </c>
      <c r="B308" s="2"/>
      <c r="C308" s="14"/>
      <c r="D308" s="3"/>
      <c r="E308" s="1" t="s">
        <v>115</v>
      </c>
      <c r="F308" s="1" t="str">
        <f t="shared" si="1"/>
        <v>13/02/26MT2022</v>
      </c>
      <c r="G308" s="1" t="str">
        <f t="shared" si="2"/>
        <v>T13/02/26</v>
      </c>
      <c r="H308" s="1" t="str">
        <f>IFNA(VLOOKUP(TRIM(E308),Master!D:M,4,0),"")</f>
        <v>PASIR MALANG 10KG</v>
      </c>
      <c r="I308" s="4">
        <v>1.0</v>
      </c>
      <c r="J308" s="5">
        <f>IFNA(VLOOKUP(E308,Master!D:U,14,0),0)</f>
        <v>15000</v>
      </c>
      <c r="K308" s="5">
        <v>0.0</v>
      </c>
      <c r="L308" s="5">
        <f t="shared" si="3"/>
        <v>15000</v>
      </c>
      <c r="M308" s="5">
        <f>IFNA(VLOOKUP(TRIM(E308),Master!D:U,13,0),"")</f>
        <v>8000</v>
      </c>
      <c r="N308" s="5">
        <f t="shared" si="4"/>
        <v>7000</v>
      </c>
      <c r="O308" s="16" t="s">
        <v>77</v>
      </c>
      <c r="P308" s="5">
        <f t="shared" si="5"/>
        <v>46.66666667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3" t="s">
        <v>231</v>
      </c>
      <c r="B309" s="2"/>
      <c r="C309" s="14"/>
      <c r="D309" s="3"/>
      <c r="E309" s="1" t="s">
        <v>94</v>
      </c>
      <c r="F309" s="1" t="str">
        <f t="shared" si="1"/>
        <v>13/02/26MT2039</v>
      </c>
      <c r="G309" s="1" t="str">
        <f t="shared" si="2"/>
        <v>T13/02/26</v>
      </c>
      <c r="H309" s="1" t="str">
        <f>IFNA(VLOOKUP(TRIM(E309),Master!D:M,4,0),"")</f>
        <v>SEKAM BAKAR 10KG</v>
      </c>
      <c r="I309" s="4">
        <v>1.0</v>
      </c>
      <c r="J309" s="5">
        <f>IFNA(VLOOKUP(E309,Master!D:U,14,0),0)</f>
        <v>12000</v>
      </c>
      <c r="K309" s="5">
        <v>0.0</v>
      </c>
      <c r="L309" s="5">
        <f t="shared" si="3"/>
        <v>12000</v>
      </c>
      <c r="M309" s="5">
        <f>IFNA(VLOOKUP(TRIM(E309),Master!D:U,13,0),"")</f>
        <v>6000</v>
      </c>
      <c r="N309" s="5">
        <f t="shared" si="4"/>
        <v>6000</v>
      </c>
      <c r="O309" s="16" t="s">
        <v>77</v>
      </c>
      <c r="P309" s="5">
        <f t="shared" si="5"/>
        <v>50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3" t="s">
        <v>231</v>
      </c>
      <c r="B310" s="13" t="s">
        <v>246</v>
      </c>
      <c r="C310" s="14"/>
      <c r="D310" s="15">
        <v>1.0</v>
      </c>
      <c r="E310" s="1" t="s">
        <v>91</v>
      </c>
      <c r="F310" s="1" t="str">
        <f t="shared" si="1"/>
        <v>13/02/26PK5048</v>
      </c>
      <c r="G310" s="1" t="str">
        <f t="shared" si="2"/>
        <v>C13/02/26</v>
      </c>
      <c r="H310" s="1" t="str">
        <f>IFNA(VLOOKUP(TRIM(E310),Master!D:M,4,0),"")</f>
        <v>PUPUK MUTIARA 161616 100GR RPK</v>
      </c>
      <c r="I310" s="4">
        <v>1.0</v>
      </c>
      <c r="J310" s="5">
        <f>IFNA(VLOOKUP(E310,Master!D:U,14,0),0)</f>
        <v>3000</v>
      </c>
      <c r="K310" s="5">
        <v>0.0</v>
      </c>
      <c r="L310" s="5">
        <f t="shared" si="3"/>
        <v>3000</v>
      </c>
      <c r="M310" s="5">
        <f>IFNA(VLOOKUP(TRIM(E310),Master!D:U,13,0),"")</f>
        <v>1900</v>
      </c>
      <c r="N310" s="5">
        <f t="shared" si="4"/>
        <v>1100</v>
      </c>
      <c r="O310" s="4" t="s">
        <v>19</v>
      </c>
      <c r="P310" s="5">
        <f t="shared" si="5"/>
        <v>36.66666667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3" t="s">
        <v>231</v>
      </c>
      <c r="B311" s="13" t="s">
        <v>246</v>
      </c>
      <c r="C311" s="14"/>
      <c r="D311" s="15">
        <v>1.0</v>
      </c>
      <c r="E311" s="1" t="s">
        <v>87</v>
      </c>
      <c r="F311" s="1" t="str">
        <f t="shared" si="1"/>
        <v>13/02/26PK5052</v>
      </c>
      <c r="G311" s="1" t="str">
        <f t="shared" si="2"/>
        <v>C13/02/26</v>
      </c>
      <c r="H311" s="1" t="str">
        <f>IFNA(VLOOKUP(TRIM(E311),Master!D:M,4,0),"")</f>
        <v>PUPUK NPK 161616 PAK TANI</v>
      </c>
      <c r="I311" s="4">
        <v>1.0</v>
      </c>
      <c r="J311" s="5">
        <f>IFNA(VLOOKUP(E311,Master!D:U,14,0),0)</f>
        <v>25000</v>
      </c>
      <c r="K311" s="5">
        <v>0.0</v>
      </c>
      <c r="L311" s="5">
        <f t="shared" si="3"/>
        <v>25000</v>
      </c>
      <c r="M311" s="5">
        <f>IFNA(VLOOKUP(TRIM(E311),Master!D:U,13,0),"")</f>
        <v>17050</v>
      </c>
      <c r="N311" s="5">
        <f t="shared" si="4"/>
        <v>7950</v>
      </c>
      <c r="O311" s="16" t="s">
        <v>19</v>
      </c>
      <c r="P311" s="5">
        <f t="shared" si="5"/>
        <v>31.8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3" t="s">
        <v>231</v>
      </c>
      <c r="B312" s="2"/>
      <c r="C312" s="14"/>
      <c r="D312" s="3"/>
      <c r="E312" s="1" t="s">
        <v>85</v>
      </c>
      <c r="F312" s="1" t="str">
        <f t="shared" si="1"/>
        <v>13/02/26PS4009</v>
      </c>
      <c r="G312" s="1" t="str">
        <f t="shared" si="2"/>
        <v>C13/02/26</v>
      </c>
      <c r="H312" s="1" t="str">
        <f>IFNA(VLOOKUP(TRIM(E312),Master!D:M,4,0),"")</f>
        <v>ROUNDUP 200ML</v>
      </c>
      <c r="I312" s="4">
        <v>1.0</v>
      </c>
      <c r="J312" s="5">
        <f>IFNA(VLOOKUP(E312,Master!D:U,14,0),0)</f>
        <v>35000</v>
      </c>
      <c r="K312" s="5">
        <v>0.0</v>
      </c>
      <c r="L312" s="5">
        <f t="shared" si="3"/>
        <v>35000</v>
      </c>
      <c r="M312" s="5">
        <f>IFNA(VLOOKUP(TRIM(E312),Master!D:U,13,0),"")</f>
        <v>23000</v>
      </c>
      <c r="N312" s="5">
        <f t="shared" si="4"/>
        <v>12000</v>
      </c>
      <c r="O312" s="4" t="s">
        <v>19</v>
      </c>
      <c r="P312" s="5">
        <f t="shared" si="5"/>
        <v>34.28571429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3" t="s">
        <v>231</v>
      </c>
      <c r="B313" s="13" t="s">
        <v>247</v>
      </c>
      <c r="C313" s="14"/>
      <c r="D313" s="15">
        <v>1.0</v>
      </c>
      <c r="E313" s="1" t="s">
        <v>248</v>
      </c>
      <c r="F313" s="1" t="str">
        <f t="shared" si="1"/>
        <v>13/02/26PK5032</v>
      </c>
      <c r="G313" s="1" t="str">
        <f t="shared" si="2"/>
        <v>C13/02/26</v>
      </c>
      <c r="H313" s="1" t="str">
        <f>IFNA(VLOOKUP(TRIM(E313),Master!D:M,4,0),"")</f>
        <v>PERANGSANG AKAR INFARM 100ML</v>
      </c>
      <c r="I313" s="4">
        <v>1.0</v>
      </c>
      <c r="J313" s="5">
        <f>IFNA(VLOOKUP(E313,Master!D:U,14,0),0)</f>
        <v>35000</v>
      </c>
      <c r="K313" s="5">
        <v>0.0</v>
      </c>
      <c r="L313" s="5">
        <f t="shared" si="3"/>
        <v>35000</v>
      </c>
      <c r="M313" s="5" t="str">
        <f>IFNA(VLOOKUP(TRIM(E313),Master!D:U,13,0),"")</f>
        <v/>
      </c>
      <c r="N313" s="5">
        <f t="shared" si="4"/>
        <v>35000</v>
      </c>
      <c r="O313" s="4" t="s">
        <v>19</v>
      </c>
      <c r="P313" s="5">
        <f t="shared" si="5"/>
        <v>100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3" t="s">
        <v>231</v>
      </c>
      <c r="B314" s="13" t="s">
        <v>247</v>
      </c>
      <c r="C314" s="14"/>
      <c r="D314" s="15">
        <v>1.0</v>
      </c>
      <c r="E314" s="1" t="s">
        <v>37</v>
      </c>
      <c r="F314" s="1" t="str">
        <f t="shared" si="1"/>
        <v>13/02/26MT2050</v>
      </c>
      <c r="G314" s="1" t="str">
        <f t="shared" si="2"/>
        <v>C13/02/26</v>
      </c>
      <c r="H314" s="1" t="str">
        <f>IFNA(VLOOKUP(TRIM(E314),Master!D:M,4,0),"")</f>
        <v>TANAH SUBUR 10KG BINTANG TANI</v>
      </c>
      <c r="I314" s="16">
        <v>3.0</v>
      </c>
      <c r="J314" s="5">
        <f>IFNA(VLOOKUP(E314,Master!D:U,14,0),0)</f>
        <v>10000</v>
      </c>
      <c r="K314" s="5">
        <v>0.0</v>
      </c>
      <c r="L314" s="5">
        <f t="shared" si="3"/>
        <v>30000</v>
      </c>
      <c r="M314" s="5">
        <f>IFNA(VLOOKUP(TRIM(E314),Master!D:U,13,0),"")</f>
        <v>6000</v>
      </c>
      <c r="N314" s="5">
        <f t="shared" si="4"/>
        <v>12000</v>
      </c>
      <c r="O314" s="4" t="s">
        <v>19</v>
      </c>
      <c r="P314" s="5">
        <f t="shared" si="5"/>
        <v>40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3" t="s">
        <v>231</v>
      </c>
      <c r="B315" s="13" t="s">
        <v>249</v>
      </c>
      <c r="C315" s="14"/>
      <c r="D315" s="15">
        <v>1.0</v>
      </c>
      <c r="E315" s="1" t="s">
        <v>140</v>
      </c>
      <c r="F315" s="1" t="str">
        <f t="shared" si="1"/>
        <v>13/02/26MT2031</v>
      </c>
      <c r="G315" s="1" t="str">
        <f t="shared" si="2"/>
        <v>T13/02/26</v>
      </c>
      <c r="H315" s="1" t="str">
        <f>IFNA(VLOOKUP(TRIM(E315),Master!D:M,4,0),"")</f>
        <v>PINE BARK</v>
      </c>
      <c r="I315" s="16">
        <v>2.0</v>
      </c>
      <c r="J315" s="5">
        <f>IFNA(VLOOKUP(E315,Master!D:U,14,0),0)</f>
        <v>20000</v>
      </c>
      <c r="K315" s="5">
        <v>0.0</v>
      </c>
      <c r="L315" s="5">
        <f t="shared" si="3"/>
        <v>40000</v>
      </c>
      <c r="M315" s="5">
        <f>IFNA(VLOOKUP(TRIM(E315),Master!D:U,13,0),"")</f>
        <v>12000</v>
      </c>
      <c r="N315" s="5">
        <f t="shared" si="4"/>
        <v>16000</v>
      </c>
      <c r="O315" s="16" t="s">
        <v>77</v>
      </c>
      <c r="P315" s="5">
        <f t="shared" si="5"/>
        <v>40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3" t="s">
        <v>231</v>
      </c>
      <c r="B316" s="13" t="s">
        <v>249</v>
      </c>
      <c r="C316" s="14"/>
      <c r="D316" s="15">
        <v>1.0</v>
      </c>
      <c r="E316" s="17" t="s">
        <v>42</v>
      </c>
      <c r="F316" s="1" t="str">
        <f t="shared" si="1"/>
        <v>13/02/26PL3042</v>
      </c>
      <c r="G316" s="1" t="str">
        <f t="shared" si="2"/>
        <v>C13/02/26</v>
      </c>
      <c r="H316" s="1" t="str">
        <f>IFNA(VLOOKUP(TRIM(E316),Master!D:M,4,0),"")</f>
        <v>KAWAT BONSAI SILVER NO.2 ECERAN</v>
      </c>
      <c r="I316" s="16">
        <v>10.0</v>
      </c>
      <c r="J316" s="5">
        <f>IFNA(VLOOKUP(E316,Master!D:U,14,0),0)</f>
        <v>1500</v>
      </c>
      <c r="K316" s="5">
        <v>0.0</v>
      </c>
      <c r="L316" s="5">
        <f t="shared" si="3"/>
        <v>15000</v>
      </c>
      <c r="M316" s="5">
        <f>IFNA(VLOOKUP(TRIM(E316),Master!D:U,13,0),"")</f>
        <v>800</v>
      </c>
      <c r="N316" s="5">
        <f t="shared" si="4"/>
        <v>7000</v>
      </c>
      <c r="O316" s="4" t="s">
        <v>19</v>
      </c>
      <c r="P316" s="5">
        <f t="shared" si="5"/>
        <v>46.66666667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3" t="s">
        <v>231</v>
      </c>
      <c r="B317" s="13" t="s">
        <v>249</v>
      </c>
      <c r="C317" s="14"/>
      <c r="D317" s="15">
        <v>1.0</v>
      </c>
      <c r="E317" s="1" t="s">
        <v>37</v>
      </c>
      <c r="F317" s="1" t="str">
        <f t="shared" si="1"/>
        <v>13/02/26MT2050</v>
      </c>
      <c r="G317" s="1" t="str">
        <f t="shared" si="2"/>
        <v>C13/02/26</v>
      </c>
      <c r="H317" s="1" t="str">
        <f>IFNA(VLOOKUP(TRIM(E317),Master!D:M,4,0),"")</f>
        <v>TANAH SUBUR 10KG BINTANG TANI</v>
      </c>
      <c r="I317" s="16">
        <v>5.0</v>
      </c>
      <c r="J317" s="5">
        <f>IFNA(VLOOKUP(E317,Master!D:U,14,0),0)</f>
        <v>10000</v>
      </c>
      <c r="K317" s="5">
        <v>0.0</v>
      </c>
      <c r="L317" s="5">
        <f t="shared" si="3"/>
        <v>50000</v>
      </c>
      <c r="M317" s="5">
        <f>IFNA(VLOOKUP(TRIM(E317),Master!D:U,13,0),"")</f>
        <v>6000</v>
      </c>
      <c r="N317" s="5">
        <f t="shared" si="4"/>
        <v>20000</v>
      </c>
      <c r="O317" s="4" t="s">
        <v>19</v>
      </c>
      <c r="P317" s="5">
        <f t="shared" si="5"/>
        <v>40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3" t="s">
        <v>231</v>
      </c>
      <c r="B318" s="13" t="s">
        <v>249</v>
      </c>
      <c r="C318" s="14"/>
      <c r="D318" s="15">
        <v>1.0</v>
      </c>
      <c r="E318" s="1" t="s">
        <v>250</v>
      </c>
      <c r="F318" s="1" t="str">
        <f t="shared" si="1"/>
        <v>13/02/26PL3037</v>
      </c>
      <c r="G318" s="1" t="str">
        <f t="shared" si="2"/>
        <v>C13/02/26</v>
      </c>
      <c r="H318" s="1" t="str">
        <f>IFNA(VLOOKUP(TRIM(E318),Master!D:M,4,0),"")</f>
        <v>KAWAT BONSAI SILVER NO.1</v>
      </c>
      <c r="I318" s="16">
        <v>2.0</v>
      </c>
      <c r="J318" s="5">
        <f>IFNA(VLOOKUP(E318,Master!D:U,14,0),0)</f>
        <v>95000</v>
      </c>
      <c r="K318" s="5">
        <v>0.0</v>
      </c>
      <c r="L318" s="5">
        <f t="shared" si="3"/>
        <v>190000</v>
      </c>
      <c r="M318" s="18">
        <v>102500.0</v>
      </c>
      <c r="N318" s="5">
        <f t="shared" si="4"/>
        <v>-15000</v>
      </c>
      <c r="O318" s="4" t="s">
        <v>19</v>
      </c>
      <c r="P318" s="5">
        <f t="shared" si="5"/>
        <v>-7.894736842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3" t="s">
        <v>231</v>
      </c>
      <c r="B319" s="2"/>
      <c r="C319" s="14"/>
      <c r="D319" s="3"/>
      <c r="E319" s="1" t="s">
        <v>212</v>
      </c>
      <c r="F319" s="1" t="str">
        <f t="shared" si="1"/>
        <v>13/02/26PL3045</v>
      </c>
      <c r="G319" s="1" t="str">
        <f t="shared" si="2"/>
        <v>C13/02/26</v>
      </c>
      <c r="H319" s="1" t="str">
        <f>IFNA(VLOOKUP(TRIM(E319),Master!D:M,4,0),"")</f>
        <v>KAWAT BONSAI SILVER NO.3</v>
      </c>
      <c r="I319" s="16">
        <v>2.0</v>
      </c>
      <c r="J319" s="5">
        <f>IFNA(VLOOKUP(E319,Master!D:U,14,0),0)</f>
        <v>95000</v>
      </c>
      <c r="K319" s="5">
        <v>0.0</v>
      </c>
      <c r="L319" s="5">
        <f t="shared" si="3"/>
        <v>190000</v>
      </c>
      <c r="M319" s="18">
        <v>102500.0</v>
      </c>
      <c r="N319" s="5">
        <f t="shared" si="4"/>
        <v>-15000</v>
      </c>
      <c r="O319" s="16" t="s">
        <v>19</v>
      </c>
      <c r="P319" s="5">
        <f t="shared" si="5"/>
        <v>-7.894736842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3" t="s">
        <v>251</v>
      </c>
      <c r="B320" s="13" t="s">
        <v>205</v>
      </c>
      <c r="C320" s="14"/>
      <c r="D320" s="15">
        <v>1.0</v>
      </c>
      <c r="E320" s="1" t="s">
        <v>37</v>
      </c>
      <c r="F320" s="1" t="str">
        <f t="shared" si="1"/>
        <v>14/02/26MT2050</v>
      </c>
      <c r="G320" s="1" t="str">
        <f t="shared" si="2"/>
        <v>C14/02/26</v>
      </c>
      <c r="H320" s="1" t="str">
        <f>IFNA(VLOOKUP(TRIM(E320),Master!D:M,4,0),"")</f>
        <v>TANAH SUBUR 10KG BINTANG TANI</v>
      </c>
      <c r="I320" s="4">
        <v>1.0</v>
      </c>
      <c r="J320" s="5">
        <f>IFNA(VLOOKUP(E320,Master!D:U,14,0),0)</f>
        <v>10000</v>
      </c>
      <c r="K320" s="5">
        <v>0.0</v>
      </c>
      <c r="L320" s="5">
        <f t="shared" si="3"/>
        <v>10000</v>
      </c>
      <c r="M320" s="5">
        <f>IFNA(VLOOKUP(TRIM(E320),Master!D:U,13,0),"")</f>
        <v>6000</v>
      </c>
      <c r="N320" s="5">
        <f t="shared" si="4"/>
        <v>4000</v>
      </c>
      <c r="O320" s="4" t="s">
        <v>19</v>
      </c>
      <c r="P320" s="5">
        <f t="shared" si="5"/>
        <v>40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3" t="s">
        <v>251</v>
      </c>
      <c r="B321" s="2"/>
      <c r="C321" s="14"/>
      <c r="D321" s="3"/>
      <c r="E321" s="1" t="s">
        <v>18</v>
      </c>
      <c r="F321" s="1" t="str">
        <f t="shared" si="1"/>
        <v>14/02/26PK5043</v>
      </c>
      <c r="G321" s="1" t="str">
        <f t="shared" si="2"/>
        <v>C14/02/26</v>
      </c>
      <c r="H321" s="1" t="str">
        <f>IFNA(VLOOKUP(TRIM(E321),Master!D:M,4,0),"")</f>
        <v>PUPUK KAMBING 5KG</v>
      </c>
      <c r="I321" s="16">
        <v>2.0</v>
      </c>
      <c r="J321" s="5">
        <f>IFNA(VLOOKUP(E321,Master!D:U,14,0),0)</f>
        <v>15000</v>
      </c>
      <c r="K321" s="5">
        <v>0.0</v>
      </c>
      <c r="L321" s="5">
        <f t="shared" si="3"/>
        <v>30000</v>
      </c>
      <c r="M321" s="5">
        <f>IFNA(VLOOKUP(TRIM(E321),Master!D:U,13,0),"")</f>
        <v>8000</v>
      </c>
      <c r="N321" s="5">
        <f t="shared" si="4"/>
        <v>14000</v>
      </c>
      <c r="O321" s="4" t="s">
        <v>19</v>
      </c>
      <c r="P321" s="5">
        <f t="shared" si="5"/>
        <v>46.66666667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3" t="s">
        <v>251</v>
      </c>
      <c r="B322" s="13" t="s">
        <v>135</v>
      </c>
      <c r="C322" s="14"/>
      <c r="D322" s="15">
        <v>1.0</v>
      </c>
      <c r="E322" s="1" t="s">
        <v>109</v>
      </c>
      <c r="F322" s="1" t="str">
        <f t="shared" si="1"/>
        <v>14/02/26PK5013</v>
      </c>
      <c r="G322" s="1" t="str">
        <f t="shared" si="2"/>
        <v>C14/02/26</v>
      </c>
      <c r="H322" s="1" t="str">
        <f>IFNA(VLOOKUP(TRIM(E322),Master!D:M,4,0),"")</f>
        <v>DEKASTAR 171110 KTK 100GR</v>
      </c>
      <c r="I322" s="4">
        <v>1.0</v>
      </c>
      <c r="J322" s="5">
        <f>IFNA(VLOOKUP(E322,Master!D:U,14,0),0)</f>
        <v>30000</v>
      </c>
      <c r="K322" s="5">
        <v>0.0</v>
      </c>
      <c r="L322" s="5">
        <f t="shared" si="3"/>
        <v>30000</v>
      </c>
      <c r="M322" s="5">
        <f>IFNA(VLOOKUP(TRIM(E322),Master!D:U,13,0),"")</f>
        <v>24000</v>
      </c>
      <c r="N322" s="5">
        <f t="shared" si="4"/>
        <v>6000</v>
      </c>
      <c r="O322" s="4" t="s">
        <v>19</v>
      </c>
      <c r="P322" s="5">
        <f t="shared" si="5"/>
        <v>20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3" t="s">
        <v>251</v>
      </c>
      <c r="B323" s="13" t="s">
        <v>252</v>
      </c>
      <c r="C323" s="14"/>
      <c r="D323" s="15">
        <v>1.0</v>
      </c>
      <c r="E323" s="1" t="s">
        <v>253</v>
      </c>
      <c r="F323" s="1" t="str">
        <f t="shared" si="1"/>
        <v>14/02/26PK5047</v>
      </c>
      <c r="G323" s="1" t="str">
        <f t="shared" si="2"/>
        <v>C14/02/26</v>
      </c>
      <c r="H323" s="1" t="str">
        <f>IFNA(VLOOKUP(TRIM(E323),Master!D:M,4,0),"")</f>
        <v>PUPUK MEROKE MKP 1KG</v>
      </c>
      <c r="I323" s="4">
        <v>1.0</v>
      </c>
      <c r="J323" s="5">
        <f>IFNA(VLOOKUP(E323,Master!D:U,14,0),0)</f>
        <v>68000</v>
      </c>
      <c r="K323" s="5">
        <v>0.0</v>
      </c>
      <c r="L323" s="5">
        <f t="shared" si="3"/>
        <v>68000</v>
      </c>
      <c r="M323" s="5">
        <f>IFNA(VLOOKUP(TRIM(E323),Master!D:U,13,0),"")</f>
        <v>60000</v>
      </c>
      <c r="N323" s="5">
        <f t="shared" si="4"/>
        <v>8000</v>
      </c>
      <c r="O323" s="16" t="s">
        <v>19</v>
      </c>
      <c r="P323" s="5">
        <f t="shared" si="5"/>
        <v>11.76470588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3" t="s">
        <v>251</v>
      </c>
      <c r="B324" s="13" t="s">
        <v>254</v>
      </c>
      <c r="C324" s="14"/>
      <c r="D324" s="15">
        <v>1.0</v>
      </c>
      <c r="E324" s="1" t="s">
        <v>140</v>
      </c>
      <c r="F324" s="1" t="str">
        <f t="shared" si="1"/>
        <v>14/02/26MT2031</v>
      </c>
      <c r="G324" s="1" t="str">
        <f t="shared" si="2"/>
        <v>C14/02/26</v>
      </c>
      <c r="H324" s="1" t="str">
        <f>IFNA(VLOOKUP(TRIM(E324),Master!D:M,4,0),"")</f>
        <v>PINE BARK</v>
      </c>
      <c r="I324" s="16">
        <v>10.0</v>
      </c>
      <c r="J324" s="18">
        <v>17000.0</v>
      </c>
      <c r="K324" s="18">
        <v>10000.0</v>
      </c>
      <c r="L324" s="5">
        <f t="shared" si="3"/>
        <v>160000</v>
      </c>
      <c r="M324" s="5">
        <f>IFNA(VLOOKUP(TRIM(E324),Master!D:U,13,0),"")</f>
        <v>12000</v>
      </c>
      <c r="N324" s="5">
        <f t="shared" si="4"/>
        <v>40000</v>
      </c>
      <c r="O324" s="4" t="s">
        <v>19</v>
      </c>
      <c r="P324" s="5">
        <f t="shared" si="5"/>
        <v>29.41176471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3" t="s">
        <v>255</v>
      </c>
      <c r="B325" s="13" t="s">
        <v>256</v>
      </c>
      <c r="C325" s="14"/>
      <c r="D325" s="15">
        <v>1.0</v>
      </c>
      <c r="E325" s="1" t="s">
        <v>33</v>
      </c>
      <c r="F325" s="1" t="str">
        <f t="shared" si="1"/>
        <v>15/02/26PL3040</v>
      </c>
      <c r="G325" s="1" t="str">
        <f t="shared" si="2"/>
        <v>O15/02/26</v>
      </c>
      <c r="H325" s="1" t="str">
        <f>IFNA(VLOOKUP(TRIM(E325),Master!D:M,4,0),"")</f>
        <v>KAWAT BONSAI SILVER NO.1.5 ECERAN</v>
      </c>
      <c r="I325" s="16">
        <v>6.0</v>
      </c>
      <c r="J325" s="5">
        <f>IFNA(VLOOKUP(E325,Master!D:U,14,0),0)</f>
        <v>750</v>
      </c>
      <c r="K325" s="5">
        <v>0.0</v>
      </c>
      <c r="L325" s="5">
        <f t="shared" si="3"/>
        <v>4500</v>
      </c>
      <c r="M325" s="5">
        <f>IFNA(VLOOKUP(TRIM(E325),Master!D:U,13,0),"")</f>
        <v>444</v>
      </c>
      <c r="N325" s="5">
        <f t="shared" si="4"/>
        <v>1836</v>
      </c>
      <c r="O325" s="16" t="s">
        <v>28</v>
      </c>
      <c r="P325" s="5">
        <f t="shared" si="5"/>
        <v>40.8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3" t="s">
        <v>255</v>
      </c>
      <c r="B326" s="2"/>
      <c r="C326" s="14"/>
      <c r="D326" s="3"/>
      <c r="E326" s="1" t="s">
        <v>33</v>
      </c>
      <c r="F326" s="1" t="str">
        <f t="shared" si="1"/>
        <v>15/02/26PL3040</v>
      </c>
      <c r="G326" s="1" t="str">
        <f t="shared" si="2"/>
        <v>O15/02/26</v>
      </c>
      <c r="H326" s="1" t="str">
        <f>IFNA(VLOOKUP(TRIM(E326),Master!D:M,4,0),"")</f>
        <v>KAWAT BONSAI SILVER NO.1.5 ECERAN</v>
      </c>
      <c r="I326" s="16">
        <v>7.0</v>
      </c>
      <c r="J326" s="5">
        <f>IFNA(VLOOKUP(E326,Master!D:U,14,0),0)</f>
        <v>750</v>
      </c>
      <c r="K326" s="5">
        <v>0.0</v>
      </c>
      <c r="L326" s="5">
        <f t="shared" si="3"/>
        <v>5250</v>
      </c>
      <c r="M326" s="5">
        <f>IFNA(VLOOKUP(TRIM(E326),Master!D:U,13,0),"")</f>
        <v>444</v>
      </c>
      <c r="N326" s="5">
        <f t="shared" si="4"/>
        <v>2142</v>
      </c>
      <c r="O326" s="16" t="s">
        <v>28</v>
      </c>
      <c r="P326" s="5">
        <f t="shared" si="5"/>
        <v>40.8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3" t="s">
        <v>257</v>
      </c>
      <c r="B327" s="13" t="s">
        <v>258</v>
      </c>
      <c r="C327" s="14"/>
      <c r="D327" s="15">
        <v>1.0</v>
      </c>
      <c r="E327" s="1" t="s">
        <v>33</v>
      </c>
      <c r="F327" s="1" t="str">
        <f t="shared" si="1"/>
        <v>16/02/26PL3040</v>
      </c>
      <c r="G327" s="1" t="str">
        <f t="shared" si="2"/>
        <v>O16/02/26</v>
      </c>
      <c r="H327" s="1" t="str">
        <f>IFNA(VLOOKUP(TRIM(E327),Master!D:M,4,0),"")</f>
        <v>KAWAT BONSAI SILVER NO.1.5 ECERAN</v>
      </c>
      <c r="I327" s="16">
        <v>5.0</v>
      </c>
      <c r="J327" s="5">
        <f>IFNA(VLOOKUP(E327,Master!D:U,14,0),0)</f>
        <v>750</v>
      </c>
      <c r="K327" s="5">
        <v>0.0</v>
      </c>
      <c r="L327" s="5">
        <f t="shared" si="3"/>
        <v>3750</v>
      </c>
      <c r="M327" s="5">
        <f>IFNA(VLOOKUP(TRIM(E327),Master!D:U,13,0),"")</f>
        <v>444</v>
      </c>
      <c r="N327" s="5">
        <f t="shared" si="4"/>
        <v>1530</v>
      </c>
      <c r="O327" s="16" t="s">
        <v>28</v>
      </c>
      <c r="P327" s="5">
        <f t="shared" si="5"/>
        <v>40.8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3" t="s">
        <v>257</v>
      </c>
      <c r="B328" s="2"/>
      <c r="C328" s="14"/>
      <c r="D328" s="3"/>
      <c r="E328" s="17" t="s">
        <v>42</v>
      </c>
      <c r="F328" s="1" t="str">
        <f t="shared" si="1"/>
        <v>16/02/26PL3042</v>
      </c>
      <c r="G328" s="1" t="str">
        <f t="shared" si="2"/>
        <v>O16/02/26</v>
      </c>
      <c r="H328" s="1" t="str">
        <f>IFNA(VLOOKUP(TRIM(E328),Master!D:M,4,0),"")</f>
        <v>KAWAT BONSAI SILVER NO.2 ECERAN</v>
      </c>
      <c r="I328" s="16">
        <v>5.0</v>
      </c>
      <c r="J328" s="5">
        <f>IFNA(VLOOKUP(E328,Master!D:U,14,0),0)</f>
        <v>1500</v>
      </c>
      <c r="K328" s="5">
        <v>0.0</v>
      </c>
      <c r="L328" s="5">
        <f t="shared" si="3"/>
        <v>7500</v>
      </c>
      <c r="M328" s="5">
        <f>IFNA(VLOOKUP(TRIM(E328),Master!D:U,13,0),"")</f>
        <v>800</v>
      </c>
      <c r="N328" s="5">
        <f t="shared" si="4"/>
        <v>3500</v>
      </c>
      <c r="O328" s="16" t="s">
        <v>28</v>
      </c>
      <c r="P328" s="5">
        <f t="shared" si="5"/>
        <v>46.66666667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3" t="s">
        <v>257</v>
      </c>
      <c r="B329" s="2"/>
      <c r="C329" s="14"/>
      <c r="D329" s="3"/>
      <c r="E329" s="1" t="s">
        <v>259</v>
      </c>
      <c r="F329" s="1" t="str">
        <f t="shared" si="1"/>
        <v>16/02/26PK5022</v>
      </c>
      <c r="G329" s="1" t="str">
        <f t="shared" si="2"/>
        <v>O16/02/26</v>
      </c>
      <c r="H329" s="1" t="str">
        <f>IFNA(VLOOKUP(TRIM(E329),Master!D:M,4,0),"")</f>
        <v>KAPUR DOLOMITE 1KG</v>
      </c>
      <c r="I329" s="16">
        <v>2.0</v>
      </c>
      <c r="J329" s="18">
        <v>3500.0</v>
      </c>
      <c r="K329" s="5">
        <v>0.0</v>
      </c>
      <c r="L329" s="5">
        <f t="shared" si="3"/>
        <v>7000</v>
      </c>
      <c r="M329" s="18">
        <v>0.0</v>
      </c>
      <c r="N329" s="5">
        <f t="shared" si="4"/>
        <v>7000</v>
      </c>
      <c r="O329" s="16" t="s">
        <v>28</v>
      </c>
      <c r="P329" s="5">
        <f t="shared" si="5"/>
        <v>100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3" t="s">
        <v>257</v>
      </c>
      <c r="B330" s="2"/>
      <c r="C330" s="14"/>
      <c r="D330" s="3"/>
      <c r="E330" s="1" t="s">
        <v>37</v>
      </c>
      <c r="F330" s="1" t="str">
        <f t="shared" si="1"/>
        <v>16/02/26MT2050</v>
      </c>
      <c r="G330" s="1" t="str">
        <f t="shared" si="2"/>
        <v>O16/02/26</v>
      </c>
      <c r="H330" s="1" t="str">
        <f>IFNA(VLOOKUP(TRIM(E330),Master!D:M,4,0),"")</f>
        <v>TANAH SUBUR 10KG BINTANG TANI</v>
      </c>
      <c r="I330" s="16">
        <v>3.0</v>
      </c>
      <c r="J330" s="5">
        <f>IFNA(VLOOKUP(E330,Master!D:U,14,0),0)</f>
        <v>10000</v>
      </c>
      <c r="K330" s="5">
        <v>0.0</v>
      </c>
      <c r="L330" s="5">
        <f t="shared" si="3"/>
        <v>30000</v>
      </c>
      <c r="M330" s="5">
        <f>IFNA(VLOOKUP(TRIM(E330),Master!D:U,13,0),"")</f>
        <v>6000</v>
      </c>
      <c r="N330" s="5">
        <f t="shared" si="4"/>
        <v>12000</v>
      </c>
      <c r="O330" s="16" t="s">
        <v>28</v>
      </c>
      <c r="P330" s="5">
        <f t="shared" si="5"/>
        <v>40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3" t="s">
        <v>257</v>
      </c>
      <c r="B331" s="2"/>
      <c r="C331" s="14"/>
      <c r="D331" s="3"/>
      <c r="E331" s="1" t="s">
        <v>82</v>
      </c>
      <c r="F331" s="1" t="str">
        <f t="shared" si="1"/>
        <v>16/02/26PS4013</v>
      </c>
      <c r="G331" s="1" t="str">
        <f t="shared" si="2"/>
        <v>O16/02/26</v>
      </c>
      <c r="H331" s="1" t="str">
        <f>IFNA(VLOOKUP(TRIM(E331),Master!D:M,4,0),"")</f>
        <v>ALIKA 50ML</v>
      </c>
      <c r="I331" s="4">
        <v>1.0</v>
      </c>
      <c r="J331" s="5">
        <f>IFNA(VLOOKUP(E331,Master!D:U,14,0),0)</f>
        <v>42000</v>
      </c>
      <c r="K331" s="5">
        <v>0.0</v>
      </c>
      <c r="L331" s="5">
        <f t="shared" si="3"/>
        <v>42000</v>
      </c>
      <c r="M331" s="5">
        <f>IFNA(VLOOKUP(TRIM(E331),Master!D:U,13,0),"")</f>
        <v>36000</v>
      </c>
      <c r="N331" s="5">
        <f t="shared" si="4"/>
        <v>6000</v>
      </c>
      <c r="O331" s="16" t="s">
        <v>28</v>
      </c>
      <c r="P331" s="5">
        <f t="shared" si="5"/>
        <v>14.28571429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3" t="s">
        <v>260</v>
      </c>
      <c r="B332" s="13" t="s">
        <v>261</v>
      </c>
      <c r="C332" s="14"/>
      <c r="D332" s="15">
        <v>1.0</v>
      </c>
      <c r="E332" s="1" t="s">
        <v>243</v>
      </c>
      <c r="F332" s="1" t="str">
        <f t="shared" si="1"/>
        <v>18/02/26MT2012</v>
      </c>
      <c r="G332" s="1" t="str">
        <f t="shared" si="2"/>
        <v>C18/02/26</v>
      </c>
      <c r="H332" s="1" t="str">
        <f>IFNA(VLOOKUP(TRIM(E332),Master!D:M,4,0),"")</f>
        <v>HUMUS BAMBU 25KG</v>
      </c>
      <c r="I332" s="16">
        <v>2.0</v>
      </c>
      <c r="J332" s="18">
        <v>55000.0</v>
      </c>
      <c r="K332" s="18">
        <v>5000.0</v>
      </c>
      <c r="L332" s="5">
        <f t="shared" si="3"/>
        <v>105000</v>
      </c>
      <c r="M332" s="5">
        <f>IFNA(VLOOKUP(TRIM(E332),Master!D:U,13,0),"")</f>
        <v>30000</v>
      </c>
      <c r="N332" s="5">
        <f t="shared" si="4"/>
        <v>45000</v>
      </c>
      <c r="O332" s="16" t="s">
        <v>19</v>
      </c>
      <c r="P332" s="5">
        <f t="shared" si="5"/>
        <v>45.45454545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3" t="s">
        <v>260</v>
      </c>
      <c r="B333" s="2"/>
      <c r="C333" s="14"/>
      <c r="D333" s="3"/>
      <c r="E333" s="1" t="s">
        <v>167</v>
      </c>
      <c r="F333" s="1" t="str">
        <f t="shared" si="1"/>
        <v>18/02/26PS4019</v>
      </c>
      <c r="G333" s="1" t="str">
        <f t="shared" si="2"/>
        <v>C18/02/26</v>
      </c>
      <c r="H333" s="1" t="str">
        <f>IFNA(VLOOKUP(TRIM(E333),Master!D:M,4,0),"")</f>
        <v>FURADAN RPK 100GR</v>
      </c>
      <c r="I333" s="4">
        <v>1.0</v>
      </c>
      <c r="J333" s="5">
        <f>IFNA(VLOOKUP(E333,Master!D:U,14,0),0)</f>
        <v>5000</v>
      </c>
      <c r="K333" s="5">
        <v>0.0</v>
      </c>
      <c r="L333" s="5">
        <f t="shared" si="3"/>
        <v>5000</v>
      </c>
      <c r="M333" s="5">
        <f>IFNA(VLOOKUP(TRIM(E333),Master!D:U,13,0),"")</f>
        <v>2600</v>
      </c>
      <c r="N333" s="5">
        <f t="shared" si="4"/>
        <v>2400</v>
      </c>
      <c r="O333" s="4" t="s">
        <v>19</v>
      </c>
      <c r="P333" s="5">
        <f t="shared" si="5"/>
        <v>48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3" t="s">
        <v>260</v>
      </c>
      <c r="B334" s="13" t="s">
        <v>261</v>
      </c>
      <c r="C334" s="14"/>
      <c r="D334" s="15">
        <v>1.0</v>
      </c>
      <c r="E334" s="1" t="s">
        <v>22</v>
      </c>
      <c r="F334" s="1" t="str">
        <f t="shared" si="1"/>
        <v>18/02/26MT2037</v>
      </c>
      <c r="G334" s="1" t="str">
        <f t="shared" si="2"/>
        <v>C18/02/26</v>
      </c>
      <c r="H334" s="1" t="str">
        <f>IFNA(VLOOKUP(TRIM(E334),Master!D:M,4,0),"")</f>
        <v>PUPUK KOMPOS 5KG</v>
      </c>
      <c r="I334" s="16">
        <v>25.0</v>
      </c>
      <c r="J334" s="5">
        <f>IFNA(VLOOKUP(E334,Master!D:U,14,0),0)</f>
        <v>10000</v>
      </c>
      <c r="K334" s="18">
        <v>25000.0</v>
      </c>
      <c r="L334" s="5">
        <f t="shared" si="3"/>
        <v>225000</v>
      </c>
      <c r="M334" s="5">
        <f>IFNA(VLOOKUP(TRIM(E334),Master!D:U,13,0),"")</f>
        <v>5000</v>
      </c>
      <c r="N334" s="5">
        <f t="shared" si="4"/>
        <v>100000</v>
      </c>
      <c r="O334" s="4" t="s">
        <v>19</v>
      </c>
      <c r="P334" s="5">
        <f t="shared" si="5"/>
        <v>50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3" t="s">
        <v>260</v>
      </c>
      <c r="B335" s="13" t="s">
        <v>261</v>
      </c>
      <c r="C335" s="14"/>
      <c r="D335" s="15">
        <v>1.0</v>
      </c>
      <c r="E335" s="1" t="s">
        <v>140</v>
      </c>
      <c r="F335" s="1" t="str">
        <f t="shared" si="1"/>
        <v>18/02/26MT2031</v>
      </c>
      <c r="G335" s="1" t="str">
        <f t="shared" si="2"/>
        <v>C18/02/26</v>
      </c>
      <c r="H335" s="1" t="str">
        <f>IFNA(VLOOKUP(TRIM(E335),Master!D:M,4,0),"")</f>
        <v>PINE BARK</v>
      </c>
      <c r="I335" s="16">
        <v>6.0</v>
      </c>
      <c r="J335" s="18">
        <v>17000.0</v>
      </c>
      <c r="K335" s="5">
        <v>0.0</v>
      </c>
      <c r="L335" s="5">
        <f t="shared" si="3"/>
        <v>102000</v>
      </c>
      <c r="M335" s="5">
        <f>IFNA(VLOOKUP(TRIM(E335),Master!D:U,13,0),"")</f>
        <v>12000</v>
      </c>
      <c r="N335" s="5">
        <f t="shared" si="4"/>
        <v>30000</v>
      </c>
      <c r="O335" s="4" t="s">
        <v>19</v>
      </c>
      <c r="P335" s="5">
        <f t="shared" si="5"/>
        <v>29.41176471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3" t="s">
        <v>260</v>
      </c>
      <c r="B336" s="13" t="s">
        <v>262</v>
      </c>
      <c r="C336" s="14"/>
      <c r="D336" s="15">
        <v>1.0</v>
      </c>
      <c r="E336" s="1" t="s">
        <v>74</v>
      </c>
      <c r="F336" s="1" t="str">
        <f t="shared" si="1"/>
        <v>18/02/26PL3026</v>
      </c>
      <c r="G336" s="1" t="str">
        <f t="shared" si="2"/>
        <v>O18/02/26</v>
      </c>
      <c r="H336" s="1" t="str">
        <f>IFNA(VLOOKUP(TRIM(E336),Master!D:M,4,0),"")</f>
        <v>KAWAT BONSAI HITAM NO.1 ECERAN</v>
      </c>
      <c r="I336" s="16">
        <v>7.0</v>
      </c>
      <c r="J336" s="5">
        <f>IFNA(VLOOKUP(E336,Master!D:U,14,0),0)</f>
        <v>750</v>
      </c>
      <c r="K336" s="5">
        <v>0.0</v>
      </c>
      <c r="L336" s="5">
        <f t="shared" si="3"/>
        <v>5250</v>
      </c>
      <c r="M336" s="5">
        <f>IFNA(VLOOKUP(TRIM(E336),Master!D:U,13,0),"")</f>
        <v>407</v>
      </c>
      <c r="N336" s="5">
        <f t="shared" si="4"/>
        <v>2401</v>
      </c>
      <c r="O336" s="16" t="s">
        <v>28</v>
      </c>
      <c r="P336" s="5">
        <f t="shared" si="5"/>
        <v>45.73333333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3" t="s">
        <v>260</v>
      </c>
      <c r="B337" s="2"/>
      <c r="C337" s="14"/>
      <c r="D337" s="3"/>
      <c r="E337" s="1" t="s">
        <v>33</v>
      </c>
      <c r="F337" s="1" t="str">
        <f t="shared" si="1"/>
        <v>18/02/26PL3040</v>
      </c>
      <c r="G337" s="1" t="str">
        <f t="shared" si="2"/>
        <v>O18/02/26</v>
      </c>
      <c r="H337" s="1" t="str">
        <f>IFNA(VLOOKUP(TRIM(E337),Master!D:M,4,0),"")</f>
        <v>KAWAT BONSAI SILVER NO.1.5 ECERAN</v>
      </c>
      <c r="I337" s="16">
        <v>12.0</v>
      </c>
      <c r="J337" s="5">
        <f>IFNA(VLOOKUP(E337,Master!D:U,14,0),0)</f>
        <v>750</v>
      </c>
      <c r="K337" s="5">
        <v>0.0</v>
      </c>
      <c r="L337" s="5">
        <f t="shared" si="3"/>
        <v>9000</v>
      </c>
      <c r="M337" s="5">
        <f>IFNA(VLOOKUP(TRIM(E337),Master!D:U,13,0),"")</f>
        <v>444</v>
      </c>
      <c r="N337" s="5">
        <f t="shared" si="4"/>
        <v>3672</v>
      </c>
      <c r="O337" s="16" t="s">
        <v>28</v>
      </c>
      <c r="P337" s="5">
        <f t="shared" si="5"/>
        <v>40.8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3" t="s">
        <v>260</v>
      </c>
      <c r="B338" s="2"/>
      <c r="C338" s="14"/>
      <c r="D338" s="3"/>
      <c r="E338" s="1" t="s">
        <v>33</v>
      </c>
      <c r="F338" s="1" t="str">
        <f t="shared" si="1"/>
        <v>18/02/26PL3040</v>
      </c>
      <c r="G338" s="1" t="str">
        <f t="shared" si="2"/>
        <v>O18/02/26</v>
      </c>
      <c r="H338" s="1" t="str">
        <f>IFNA(VLOOKUP(TRIM(E338),Master!D:M,4,0),"")</f>
        <v>KAWAT BONSAI SILVER NO.1.5 ECERAN</v>
      </c>
      <c r="I338" s="16">
        <v>5.0</v>
      </c>
      <c r="J338" s="5">
        <f>IFNA(VLOOKUP(E338,Master!D:U,14,0),0)</f>
        <v>750</v>
      </c>
      <c r="K338" s="5">
        <v>0.0</v>
      </c>
      <c r="L338" s="5">
        <f t="shared" si="3"/>
        <v>3750</v>
      </c>
      <c r="M338" s="5">
        <f>IFNA(VLOOKUP(TRIM(E338),Master!D:U,13,0),"")</f>
        <v>444</v>
      </c>
      <c r="N338" s="5">
        <f t="shared" si="4"/>
        <v>1530</v>
      </c>
      <c r="O338" s="16" t="s">
        <v>28</v>
      </c>
      <c r="P338" s="5">
        <f t="shared" si="5"/>
        <v>40.8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3" t="s">
        <v>260</v>
      </c>
      <c r="B339" s="13" t="s">
        <v>263</v>
      </c>
      <c r="C339" s="14"/>
      <c r="D339" s="15">
        <v>1.0</v>
      </c>
      <c r="E339" s="1" t="s">
        <v>34</v>
      </c>
      <c r="F339" s="1" t="str">
        <f t="shared" si="1"/>
        <v>18/02/26MT2053</v>
      </c>
      <c r="G339" s="1" t="str">
        <f t="shared" si="2"/>
        <v>C18/02/26</v>
      </c>
      <c r="H339" s="1" t="str">
        <f>IFNA(VLOOKUP(TRIM(E339),Master!D:M,4,0),"")</f>
        <v>TANAH SUBUR 25KG BINTANG TANI</v>
      </c>
      <c r="I339" s="16">
        <v>2.0</v>
      </c>
      <c r="J339" s="5">
        <f>IFNA(VLOOKUP(E339,Master!D:U,14,0),0)</f>
        <v>25000</v>
      </c>
      <c r="K339" s="5">
        <v>0.0</v>
      </c>
      <c r="L339" s="5">
        <f t="shared" si="3"/>
        <v>50000</v>
      </c>
      <c r="M339" s="5">
        <f>IFNA(VLOOKUP(TRIM(E339),Master!D:U,13,0),"")</f>
        <v>15000</v>
      </c>
      <c r="N339" s="5">
        <f t="shared" si="4"/>
        <v>20000</v>
      </c>
      <c r="O339" s="4" t="s">
        <v>19</v>
      </c>
      <c r="P339" s="5">
        <f t="shared" si="5"/>
        <v>40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3" t="s">
        <v>260</v>
      </c>
      <c r="B340" s="13" t="s">
        <v>263</v>
      </c>
      <c r="C340" s="14"/>
      <c r="D340" s="15">
        <v>1.0</v>
      </c>
      <c r="E340" s="1" t="s">
        <v>90</v>
      </c>
      <c r="F340" s="1" t="str">
        <f t="shared" si="1"/>
        <v>18/02/26PK5067</v>
      </c>
      <c r="G340" s="1" t="str">
        <f t="shared" si="2"/>
        <v>T18/02/26</v>
      </c>
      <c r="H340" s="1" t="str">
        <f>IFNA(VLOOKUP(TRIM(E340),Master!D:M,4,0),"")</f>
        <v>PUPUK XPK PCK 100GR</v>
      </c>
      <c r="I340" s="4">
        <v>1.0</v>
      </c>
      <c r="J340" s="5">
        <f>IFNA(VLOOKUP(E340,Master!D:U,14,0),0)</f>
        <v>15000</v>
      </c>
      <c r="K340" s="5">
        <v>0.0</v>
      </c>
      <c r="L340" s="5">
        <f t="shared" si="3"/>
        <v>15000</v>
      </c>
      <c r="M340" s="5">
        <f>IFNA(VLOOKUP(TRIM(E340),Master!D:U,13,0),"")</f>
        <v>7500</v>
      </c>
      <c r="N340" s="5">
        <f t="shared" si="4"/>
        <v>7500</v>
      </c>
      <c r="O340" s="16" t="s">
        <v>77</v>
      </c>
      <c r="P340" s="5">
        <f t="shared" si="5"/>
        <v>50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3" t="s">
        <v>260</v>
      </c>
      <c r="B341" s="2"/>
      <c r="C341" s="14"/>
      <c r="D341" s="3"/>
      <c r="E341" s="1" t="s">
        <v>198</v>
      </c>
      <c r="F341" s="1" t="str">
        <f t="shared" si="1"/>
        <v>18/02/26PL3179</v>
      </c>
      <c r="G341" s="1" t="str">
        <f t="shared" si="2"/>
        <v>T18/02/26</v>
      </c>
      <c r="H341" s="1" t="str">
        <f>IFNA(VLOOKUP(TRIM(E341),Master!D:M,4,0),"")</f>
        <v>POT LECI 35 HITAM</v>
      </c>
      <c r="I341" s="4">
        <v>1.0</v>
      </c>
      <c r="J341" s="5">
        <f>IFNA(VLOOKUP(E341,Master!D:U,14,0),0)</f>
        <v>20000</v>
      </c>
      <c r="K341" s="5">
        <v>0.0</v>
      </c>
      <c r="L341" s="5">
        <f t="shared" si="3"/>
        <v>20000</v>
      </c>
      <c r="M341" s="5">
        <f>IFNA(VLOOKUP(TRIM(E341),Master!D:U,13,0),"")</f>
        <v>14750</v>
      </c>
      <c r="N341" s="5">
        <f t="shared" si="4"/>
        <v>5250</v>
      </c>
      <c r="O341" s="16" t="s">
        <v>77</v>
      </c>
      <c r="P341" s="5">
        <f t="shared" si="5"/>
        <v>26.25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3" t="s">
        <v>260</v>
      </c>
      <c r="B342" s="13" t="s">
        <v>264</v>
      </c>
      <c r="C342" s="14"/>
      <c r="D342" s="15">
        <v>1.0</v>
      </c>
      <c r="E342" s="1" t="s">
        <v>170</v>
      </c>
      <c r="F342" s="1" t="str">
        <f t="shared" si="1"/>
        <v>18/02/26PL3010</v>
      </c>
      <c r="G342" s="1" t="str">
        <f t="shared" si="2"/>
        <v>O18/02/26</v>
      </c>
      <c r="H342" s="1" t="str">
        <f>IFNA(VLOOKUP(TRIM(E342),Master!D:M,4,0),"")</f>
        <v>GUNTING PRUNING HIJAU-KUNING 21CM NO. 2110</v>
      </c>
      <c r="I342" s="4">
        <v>1.0</v>
      </c>
      <c r="J342" s="5">
        <f>IFNA(VLOOKUP(E342,Master!D:U,14,0),0)</f>
        <v>70000</v>
      </c>
      <c r="K342" s="5">
        <v>0.0</v>
      </c>
      <c r="L342" s="5">
        <f t="shared" si="3"/>
        <v>70000</v>
      </c>
      <c r="M342" s="5">
        <f>IFNA(VLOOKUP(TRIM(E342),Master!D:U,13,0),"")</f>
        <v>48500</v>
      </c>
      <c r="N342" s="5">
        <f t="shared" si="4"/>
        <v>21500</v>
      </c>
      <c r="O342" s="16" t="s">
        <v>28</v>
      </c>
      <c r="P342" s="5">
        <f t="shared" si="5"/>
        <v>30.71428571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3" t="s">
        <v>260</v>
      </c>
      <c r="B343" s="2"/>
      <c r="C343" s="14"/>
      <c r="D343" s="3"/>
      <c r="E343" s="17" t="s">
        <v>183</v>
      </c>
      <c r="F343" s="1" t="str">
        <f t="shared" si="1"/>
        <v>18/02/26PL3046</v>
      </c>
      <c r="G343" s="1" t="str">
        <f t="shared" si="2"/>
        <v>O18/02/26</v>
      </c>
      <c r="H343" s="1" t="str">
        <f>IFNA(VLOOKUP(TRIM(E343),Master!D:M,4,0),"")</f>
        <v>KAWAT BONSAI SILVER NO.3 ECERAN</v>
      </c>
      <c r="I343" s="4">
        <v>1.0</v>
      </c>
      <c r="J343" s="5">
        <f>IFNA(VLOOKUP(E343,Master!D:U,14,0),0)</f>
        <v>3000</v>
      </c>
      <c r="K343" s="5">
        <v>0.0</v>
      </c>
      <c r="L343" s="5">
        <f t="shared" si="3"/>
        <v>3000</v>
      </c>
      <c r="M343" s="5">
        <f>IFNA(VLOOKUP(TRIM(E343),Master!D:U,13,0),"")</f>
        <v>2000</v>
      </c>
      <c r="N343" s="5">
        <f t="shared" si="4"/>
        <v>1000</v>
      </c>
      <c r="O343" s="16" t="s">
        <v>28</v>
      </c>
      <c r="P343" s="5">
        <f t="shared" si="5"/>
        <v>33.33333333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3" t="s">
        <v>260</v>
      </c>
      <c r="B344" s="2"/>
      <c r="C344" s="14"/>
      <c r="D344" s="3"/>
      <c r="E344" s="1" t="s">
        <v>29</v>
      </c>
      <c r="F344" s="1" t="str">
        <f t="shared" si="1"/>
        <v>18/02/26PL3028</v>
      </c>
      <c r="G344" s="1" t="str">
        <f t="shared" si="2"/>
        <v>O18/02/26</v>
      </c>
      <c r="H344" s="1" t="str">
        <f>IFNA(VLOOKUP(TRIM(E344),Master!D:M,4,0),"")</f>
        <v>KAWAT BONSAI HITAM NO.2 ECERAN</v>
      </c>
      <c r="I344" s="16">
        <v>10.0</v>
      </c>
      <c r="J344" s="5">
        <f>IFNA(VLOOKUP(E344,Master!D:U,14,0),0)</f>
        <v>2000</v>
      </c>
      <c r="K344" s="5">
        <v>0.0</v>
      </c>
      <c r="L344" s="5">
        <f t="shared" si="3"/>
        <v>20000</v>
      </c>
      <c r="M344" s="5">
        <f>IFNA(VLOOKUP(TRIM(E344),Master!D:U,13,0),"")</f>
        <v>1220</v>
      </c>
      <c r="N344" s="5">
        <f t="shared" si="4"/>
        <v>7800</v>
      </c>
      <c r="O344" s="16" t="s">
        <v>28</v>
      </c>
      <c r="P344" s="5">
        <f t="shared" si="5"/>
        <v>39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3" t="s">
        <v>260</v>
      </c>
      <c r="B345" s="2"/>
      <c r="C345" s="14"/>
      <c r="D345" s="3"/>
      <c r="E345" s="1" t="s">
        <v>265</v>
      </c>
      <c r="F345" s="1" t="str">
        <f t="shared" si="1"/>
        <v>18/02/26PL3030</v>
      </c>
      <c r="G345" s="1" t="str">
        <f t="shared" si="2"/>
        <v>O18/02/26</v>
      </c>
      <c r="H345" s="1" t="str">
        <f>IFNA(VLOOKUP(TRIM(E345),Master!D:M,4,0),"")</f>
        <v>KAWAT BONSAI HITAM NO.3 ECERAN</v>
      </c>
      <c r="I345" s="16">
        <v>5.0</v>
      </c>
      <c r="J345" s="5">
        <f>IFNA(VLOOKUP(E345,Master!D:U,14,0),0)</f>
        <v>4500</v>
      </c>
      <c r="K345" s="5">
        <v>0.0</v>
      </c>
      <c r="L345" s="5">
        <f t="shared" si="3"/>
        <v>22500</v>
      </c>
      <c r="M345" s="5">
        <f>IFNA(VLOOKUP(TRIM(E345),Master!D:U,13,0),"")</f>
        <v>3050</v>
      </c>
      <c r="N345" s="5">
        <f t="shared" si="4"/>
        <v>7250</v>
      </c>
      <c r="O345" s="16" t="s">
        <v>28</v>
      </c>
      <c r="P345" s="5">
        <f t="shared" si="5"/>
        <v>32.22222222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3" t="s">
        <v>260</v>
      </c>
      <c r="B346" s="2"/>
      <c r="C346" s="14"/>
      <c r="D346" s="3"/>
      <c r="E346" s="1" t="s">
        <v>82</v>
      </c>
      <c r="F346" s="1" t="str">
        <f t="shared" si="1"/>
        <v>18/02/26PS4013</v>
      </c>
      <c r="G346" s="1" t="str">
        <f t="shared" si="2"/>
        <v>O18/02/26</v>
      </c>
      <c r="H346" s="1" t="str">
        <f>IFNA(VLOOKUP(TRIM(E346),Master!D:M,4,0),"")</f>
        <v>ALIKA 50ML</v>
      </c>
      <c r="I346" s="4">
        <v>1.0</v>
      </c>
      <c r="J346" s="5">
        <f>IFNA(VLOOKUP(E346,Master!D:U,14,0),0)</f>
        <v>42000</v>
      </c>
      <c r="K346" s="5">
        <v>0.0</v>
      </c>
      <c r="L346" s="5">
        <f t="shared" si="3"/>
        <v>42000</v>
      </c>
      <c r="M346" s="5">
        <f>IFNA(VLOOKUP(TRIM(E346),Master!D:U,13,0),"")</f>
        <v>36000</v>
      </c>
      <c r="N346" s="5">
        <f t="shared" si="4"/>
        <v>6000</v>
      </c>
      <c r="O346" s="16" t="s">
        <v>28</v>
      </c>
      <c r="P346" s="5">
        <f t="shared" si="5"/>
        <v>14.28571429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3" t="s">
        <v>260</v>
      </c>
      <c r="B347" s="13" t="s">
        <v>266</v>
      </c>
      <c r="C347" s="14"/>
      <c r="D347" s="15">
        <v>1.0</v>
      </c>
      <c r="E347" s="20" t="s">
        <v>37</v>
      </c>
      <c r="F347" s="1" t="str">
        <f t="shared" si="1"/>
        <v>18/02/26MT2050</v>
      </c>
      <c r="G347" s="1" t="str">
        <f t="shared" si="2"/>
        <v>T18/02/26</v>
      </c>
      <c r="H347" s="1" t="str">
        <f>IFNA(VLOOKUP(TRIM(E347),Master!D:M,4,0),"")</f>
        <v>TANAH SUBUR 10KG BINTANG TANI</v>
      </c>
      <c r="I347" s="4">
        <v>1.0</v>
      </c>
      <c r="J347" s="5">
        <f>IFNA(VLOOKUP(E347,Master!D:U,14,0),0)</f>
        <v>10000</v>
      </c>
      <c r="K347" s="5">
        <v>0.0</v>
      </c>
      <c r="L347" s="5">
        <f t="shared" si="3"/>
        <v>10000</v>
      </c>
      <c r="M347" s="5">
        <f>IFNA(VLOOKUP(TRIM(E347),Master!D:U,13,0),"")</f>
        <v>6000</v>
      </c>
      <c r="N347" s="5">
        <f t="shared" si="4"/>
        <v>4000</v>
      </c>
      <c r="O347" s="16" t="s">
        <v>77</v>
      </c>
      <c r="P347" s="5">
        <f t="shared" si="5"/>
        <v>40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3" t="s">
        <v>260</v>
      </c>
      <c r="B348" s="2"/>
      <c r="C348" s="14"/>
      <c r="D348" s="3"/>
      <c r="E348" s="20" t="s">
        <v>94</v>
      </c>
      <c r="F348" s="1" t="str">
        <f t="shared" si="1"/>
        <v>18/02/26MT2039</v>
      </c>
      <c r="G348" s="1" t="str">
        <f t="shared" si="2"/>
        <v>T18/02/26</v>
      </c>
      <c r="H348" s="1" t="str">
        <f>IFNA(VLOOKUP(TRIM(E348),Master!D:M,4,0),"")</f>
        <v>SEKAM BAKAR 10KG</v>
      </c>
      <c r="I348" s="4">
        <v>1.0</v>
      </c>
      <c r="J348" s="5">
        <f>IFNA(VLOOKUP(E348,Master!D:U,14,0),0)</f>
        <v>12000</v>
      </c>
      <c r="K348" s="5">
        <v>0.0</v>
      </c>
      <c r="L348" s="5">
        <f t="shared" si="3"/>
        <v>12000</v>
      </c>
      <c r="M348" s="5">
        <f>IFNA(VLOOKUP(TRIM(E348),Master!D:U,13,0),"")</f>
        <v>6000</v>
      </c>
      <c r="N348" s="5">
        <f t="shared" si="4"/>
        <v>6000</v>
      </c>
      <c r="O348" s="16" t="s">
        <v>77</v>
      </c>
      <c r="P348" s="5">
        <f t="shared" si="5"/>
        <v>50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3" t="s">
        <v>260</v>
      </c>
      <c r="B349" s="13" t="s">
        <v>266</v>
      </c>
      <c r="C349" s="14"/>
      <c r="D349" s="15">
        <v>1.0</v>
      </c>
      <c r="E349" s="1" t="s">
        <v>267</v>
      </c>
      <c r="F349" s="1" t="str">
        <f t="shared" si="1"/>
        <v>18/02/26PK5057</v>
      </c>
      <c r="G349" s="1" t="str">
        <f t="shared" si="2"/>
        <v>C18/02/26</v>
      </c>
      <c r="H349" s="1" t="str">
        <f>IFNA(VLOOKUP(TRIM(E349),Master!D:M,4,0),"")</f>
        <v>PUPUK ORGANIK CAIR BUAH 100ML</v>
      </c>
      <c r="I349" s="4">
        <v>1.0</v>
      </c>
      <c r="J349" s="5">
        <f>IFNA(VLOOKUP(E349,Master!D:U,14,0),0)</f>
        <v>35000</v>
      </c>
      <c r="K349" s="5">
        <v>0.0</v>
      </c>
      <c r="L349" s="5">
        <f t="shared" si="3"/>
        <v>35000</v>
      </c>
      <c r="M349" s="5">
        <f>IFNA(VLOOKUP(TRIM(E349),Master!D:U,13,0),"")</f>
        <v>21000</v>
      </c>
      <c r="N349" s="5">
        <f t="shared" si="4"/>
        <v>14000</v>
      </c>
      <c r="O349" s="16" t="s">
        <v>19</v>
      </c>
      <c r="P349" s="5">
        <f t="shared" si="5"/>
        <v>40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3" t="s">
        <v>260</v>
      </c>
      <c r="B350" s="13" t="s">
        <v>266</v>
      </c>
      <c r="C350" s="14"/>
      <c r="D350" s="15">
        <v>1.0</v>
      </c>
      <c r="E350" s="1" t="s">
        <v>169</v>
      </c>
      <c r="F350" s="1" t="str">
        <f t="shared" si="1"/>
        <v>18/02/26MT2035</v>
      </c>
      <c r="G350" s="1" t="str">
        <f t="shared" si="2"/>
        <v>C18/02/26</v>
      </c>
      <c r="H350" s="1" t="str">
        <f>IFNA(VLOOKUP(TRIM(E350),Master!D:M,4,0),"")</f>
        <v>PUPUK KAMBING BUTIRAN</v>
      </c>
      <c r="I350" s="4">
        <v>1.0</v>
      </c>
      <c r="J350" s="5">
        <f>IFNA(VLOOKUP(E350,Master!D:U,14,0),0)</f>
        <v>15000</v>
      </c>
      <c r="K350" s="5">
        <v>0.0</v>
      </c>
      <c r="L350" s="5">
        <f t="shared" si="3"/>
        <v>15000</v>
      </c>
      <c r="M350" s="5">
        <f>IFNA(VLOOKUP(TRIM(E350),Master!D:U,13,0),"")</f>
        <v>8000</v>
      </c>
      <c r="N350" s="5">
        <f t="shared" si="4"/>
        <v>7000</v>
      </c>
      <c r="O350" s="16" t="s">
        <v>19</v>
      </c>
      <c r="P350" s="5">
        <f t="shared" si="5"/>
        <v>46.66666667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3" t="s">
        <v>268</v>
      </c>
      <c r="B351" s="13" t="s">
        <v>269</v>
      </c>
      <c r="C351" s="14"/>
      <c r="D351" s="15">
        <v>1.0</v>
      </c>
      <c r="E351" s="20" t="s">
        <v>37</v>
      </c>
      <c r="F351" s="1" t="str">
        <f t="shared" si="1"/>
        <v>19/02/26MT2050</v>
      </c>
      <c r="G351" s="1" t="str">
        <f t="shared" si="2"/>
        <v>C19/02/26</v>
      </c>
      <c r="H351" s="1" t="str">
        <f>IFNA(VLOOKUP(TRIM(E351),Master!D:M,4,0),"")</f>
        <v>TANAH SUBUR 10KG BINTANG TANI</v>
      </c>
      <c r="I351" s="16">
        <v>2.0</v>
      </c>
      <c r="J351" s="5">
        <f>IFNA(VLOOKUP(E351,Master!D:U,14,0),0)</f>
        <v>10000</v>
      </c>
      <c r="K351" s="5">
        <v>0.0</v>
      </c>
      <c r="L351" s="5">
        <f t="shared" si="3"/>
        <v>20000</v>
      </c>
      <c r="M351" s="5">
        <f>IFNA(VLOOKUP(TRIM(E351),Master!D:U,13,0),"")</f>
        <v>6000</v>
      </c>
      <c r="N351" s="5">
        <f t="shared" si="4"/>
        <v>8000</v>
      </c>
      <c r="O351" s="4" t="s">
        <v>19</v>
      </c>
      <c r="P351" s="5">
        <f t="shared" si="5"/>
        <v>40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3" t="s">
        <v>268</v>
      </c>
      <c r="B352" s="13" t="s">
        <v>269</v>
      </c>
      <c r="C352" s="14"/>
      <c r="D352" s="15">
        <v>1.0</v>
      </c>
      <c r="E352" s="20" t="s">
        <v>37</v>
      </c>
      <c r="F352" s="1" t="str">
        <f t="shared" si="1"/>
        <v>19/02/26MT2050</v>
      </c>
      <c r="G352" s="1" t="str">
        <f t="shared" si="2"/>
        <v>C19/02/26</v>
      </c>
      <c r="H352" s="1" t="str">
        <f>IFNA(VLOOKUP(TRIM(E352),Master!D:M,4,0),"")</f>
        <v>TANAH SUBUR 10KG BINTANG TANI</v>
      </c>
      <c r="I352" s="16">
        <v>2.0</v>
      </c>
      <c r="J352" s="5">
        <f>IFNA(VLOOKUP(E352,Master!D:U,14,0),0)</f>
        <v>10000</v>
      </c>
      <c r="K352" s="5">
        <v>0.0</v>
      </c>
      <c r="L352" s="5">
        <f t="shared" si="3"/>
        <v>20000</v>
      </c>
      <c r="M352" s="5">
        <f>IFNA(VLOOKUP(TRIM(E352),Master!D:U,13,0),"")</f>
        <v>6000</v>
      </c>
      <c r="N352" s="5">
        <f t="shared" si="4"/>
        <v>8000</v>
      </c>
      <c r="O352" s="4" t="s">
        <v>19</v>
      </c>
      <c r="P352" s="5">
        <f t="shared" si="5"/>
        <v>40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3" t="s">
        <v>268</v>
      </c>
      <c r="B353" s="13" t="s">
        <v>269</v>
      </c>
      <c r="C353" s="14"/>
      <c r="D353" s="15">
        <v>1.0</v>
      </c>
      <c r="E353" s="20" t="s">
        <v>37</v>
      </c>
      <c r="F353" s="1" t="str">
        <f t="shared" si="1"/>
        <v>19/02/26MT2050</v>
      </c>
      <c r="G353" s="1" t="str">
        <f t="shared" si="2"/>
        <v>C19/02/26</v>
      </c>
      <c r="H353" s="1" t="str">
        <f>IFNA(VLOOKUP(TRIM(E353),Master!D:M,4,0),"")</f>
        <v>TANAH SUBUR 10KG BINTANG TANI</v>
      </c>
      <c r="I353" s="16">
        <v>2.0</v>
      </c>
      <c r="J353" s="5">
        <f>IFNA(VLOOKUP(E353,Master!D:U,14,0),0)</f>
        <v>10000</v>
      </c>
      <c r="K353" s="5">
        <v>0.0</v>
      </c>
      <c r="L353" s="5">
        <f t="shared" si="3"/>
        <v>20000</v>
      </c>
      <c r="M353" s="5">
        <f>IFNA(VLOOKUP(TRIM(E353),Master!D:U,13,0),"")</f>
        <v>6000</v>
      </c>
      <c r="N353" s="5">
        <f t="shared" si="4"/>
        <v>8000</v>
      </c>
      <c r="O353" s="4" t="s">
        <v>19</v>
      </c>
      <c r="P353" s="5">
        <f t="shared" si="5"/>
        <v>40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3" t="s">
        <v>268</v>
      </c>
      <c r="B354" s="13" t="s">
        <v>269</v>
      </c>
      <c r="C354" s="14"/>
      <c r="D354" s="15">
        <v>1.0</v>
      </c>
      <c r="E354" s="1" t="s">
        <v>22</v>
      </c>
      <c r="F354" s="1" t="str">
        <f t="shared" si="1"/>
        <v>19/02/26MT2037</v>
      </c>
      <c r="G354" s="1" t="str">
        <f t="shared" si="2"/>
        <v>I19/02/26</v>
      </c>
      <c r="H354" s="1" t="str">
        <f>IFNA(VLOOKUP(TRIM(E354),Master!D:M,4,0),"")</f>
        <v>PUPUK KOMPOS 5KG</v>
      </c>
      <c r="I354" s="4">
        <v>1.0</v>
      </c>
      <c r="J354" s="5">
        <f>IFNA(VLOOKUP(E354,Master!D:U,14,0),0)</f>
        <v>10000</v>
      </c>
      <c r="K354" s="5">
        <v>0.0</v>
      </c>
      <c r="L354" s="5">
        <f t="shared" si="3"/>
        <v>10000</v>
      </c>
      <c r="M354" s="5">
        <f>IFNA(VLOOKUP(TRIM(E354),Master!D:U,13,0),"")</f>
        <v>5000</v>
      </c>
      <c r="N354" s="5">
        <f t="shared" si="4"/>
        <v>5000</v>
      </c>
      <c r="O354" s="16" t="s">
        <v>23</v>
      </c>
      <c r="P354" s="5">
        <f t="shared" si="5"/>
        <v>50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3" t="s">
        <v>268</v>
      </c>
      <c r="B355" s="2"/>
      <c r="C355" s="14"/>
      <c r="D355" s="3"/>
      <c r="E355" s="1" t="s">
        <v>33</v>
      </c>
      <c r="F355" s="1" t="str">
        <f t="shared" si="1"/>
        <v>19/02/26PL3040</v>
      </c>
      <c r="G355" s="1" t="str">
        <f t="shared" si="2"/>
        <v>O19/02/26</v>
      </c>
      <c r="H355" s="1" t="str">
        <f>IFNA(VLOOKUP(TRIM(E355),Master!D:M,4,0),"")</f>
        <v>KAWAT BONSAI SILVER NO.1.5 ECERAN</v>
      </c>
      <c r="I355" s="16">
        <v>6.0</v>
      </c>
      <c r="J355" s="5">
        <f>IFNA(VLOOKUP(E355,Master!D:U,14,0),0)</f>
        <v>750</v>
      </c>
      <c r="K355" s="5">
        <v>0.0</v>
      </c>
      <c r="L355" s="5">
        <f t="shared" si="3"/>
        <v>4500</v>
      </c>
      <c r="M355" s="5">
        <f>IFNA(VLOOKUP(TRIM(E355),Master!D:U,13,0),"")</f>
        <v>444</v>
      </c>
      <c r="N355" s="5">
        <f t="shared" si="4"/>
        <v>1836</v>
      </c>
      <c r="O355" s="16" t="s">
        <v>28</v>
      </c>
      <c r="P355" s="5">
        <f t="shared" si="5"/>
        <v>40.8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3" t="s">
        <v>268</v>
      </c>
      <c r="B356" s="2"/>
      <c r="C356" s="14"/>
      <c r="D356" s="3"/>
      <c r="E356" s="1" t="s">
        <v>33</v>
      </c>
      <c r="F356" s="1" t="str">
        <f t="shared" si="1"/>
        <v>19/02/26PL3040</v>
      </c>
      <c r="G356" s="1" t="str">
        <f t="shared" si="2"/>
        <v>O19/02/26</v>
      </c>
      <c r="H356" s="1" t="str">
        <f>IFNA(VLOOKUP(TRIM(E356),Master!D:M,4,0),"")</f>
        <v>KAWAT BONSAI SILVER NO.1.5 ECERAN</v>
      </c>
      <c r="I356" s="16">
        <v>5.0</v>
      </c>
      <c r="J356" s="5">
        <f>IFNA(VLOOKUP(E356,Master!D:U,14,0),0)</f>
        <v>750</v>
      </c>
      <c r="K356" s="5">
        <v>0.0</v>
      </c>
      <c r="L356" s="5">
        <f t="shared" si="3"/>
        <v>3750</v>
      </c>
      <c r="M356" s="5">
        <f>IFNA(VLOOKUP(TRIM(E356),Master!D:U,13,0),"")</f>
        <v>444</v>
      </c>
      <c r="N356" s="5">
        <f t="shared" si="4"/>
        <v>1530</v>
      </c>
      <c r="O356" s="16" t="s">
        <v>28</v>
      </c>
      <c r="P356" s="5">
        <f t="shared" si="5"/>
        <v>40.8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3" t="s">
        <v>268</v>
      </c>
      <c r="B357" s="2"/>
      <c r="C357" s="14"/>
      <c r="D357" s="3"/>
      <c r="E357" s="1" t="s">
        <v>33</v>
      </c>
      <c r="F357" s="1" t="str">
        <f t="shared" si="1"/>
        <v>19/02/26PL3040</v>
      </c>
      <c r="G357" s="1" t="str">
        <f t="shared" si="2"/>
        <v>O19/02/26</v>
      </c>
      <c r="H357" s="1" t="str">
        <f>IFNA(VLOOKUP(TRIM(E357),Master!D:M,4,0),"")</f>
        <v>KAWAT BONSAI SILVER NO.1.5 ECERAN</v>
      </c>
      <c r="I357" s="16">
        <v>10.0</v>
      </c>
      <c r="J357" s="5">
        <f>IFNA(VLOOKUP(E357,Master!D:U,14,0),0)</f>
        <v>750</v>
      </c>
      <c r="K357" s="5">
        <v>0.0</v>
      </c>
      <c r="L357" s="5">
        <f t="shared" si="3"/>
        <v>7500</v>
      </c>
      <c r="M357" s="5">
        <f>IFNA(VLOOKUP(TRIM(E357),Master!D:U,13,0),"")</f>
        <v>444</v>
      </c>
      <c r="N357" s="5">
        <f t="shared" si="4"/>
        <v>3060</v>
      </c>
      <c r="O357" s="16" t="s">
        <v>28</v>
      </c>
      <c r="P357" s="5">
        <f t="shared" si="5"/>
        <v>40.8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3" t="s">
        <v>268</v>
      </c>
      <c r="B358" s="2"/>
      <c r="C358" s="14"/>
      <c r="D358" s="3"/>
      <c r="E358" s="17" t="s">
        <v>42</v>
      </c>
      <c r="F358" s="1" t="str">
        <f t="shared" si="1"/>
        <v>19/02/26PL3042</v>
      </c>
      <c r="G358" s="1" t="str">
        <f t="shared" si="2"/>
        <v>O19/02/26</v>
      </c>
      <c r="H358" s="1" t="str">
        <f>IFNA(VLOOKUP(TRIM(E358),Master!D:M,4,0),"")</f>
        <v>KAWAT BONSAI SILVER NO.2 ECERAN</v>
      </c>
      <c r="I358" s="16">
        <v>10.0</v>
      </c>
      <c r="J358" s="5">
        <f>IFNA(VLOOKUP(E358,Master!D:U,14,0),0)</f>
        <v>1500</v>
      </c>
      <c r="K358" s="5">
        <v>0.0</v>
      </c>
      <c r="L358" s="5">
        <f t="shared" si="3"/>
        <v>15000</v>
      </c>
      <c r="M358" s="5">
        <f>IFNA(VLOOKUP(TRIM(E358),Master!D:U,13,0),"")</f>
        <v>800</v>
      </c>
      <c r="N358" s="5">
        <f t="shared" si="4"/>
        <v>7000</v>
      </c>
      <c r="O358" s="16" t="s">
        <v>28</v>
      </c>
      <c r="P358" s="5">
        <f t="shared" si="5"/>
        <v>46.66666667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3" t="s">
        <v>268</v>
      </c>
      <c r="B359" s="2"/>
      <c r="C359" s="14"/>
      <c r="D359" s="3"/>
      <c r="E359" s="1" t="s">
        <v>33</v>
      </c>
      <c r="F359" s="1" t="str">
        <f t="shared" si="1"/>
        <v>19/02/26PL3040</v>
      </c>
      <c r="G359" s="1" t="str">
        <f t="shared" si="2"/>
        <v>O19/02/26</v>
      </c>
      <c r="H359" s="1" t="str">
        <f>IFNA(VLOOKUP(TRIM(E359),Master!D:M,4,0),"")</f>
        <v>KAWAT BONSAI SILVER NO.1.5 ECERAN</v>
      </c>
      <c r="I359" s="16">
        <v>5.0</v>
      </c>
      <c r="J359" s="5">
        <f>IFNA(VLOOKUP(E359,Master!D:U,14,0),0)</f>
        <v>750</v>
      </c>
      <c r="K359" s="5">
        <v>0.0</v>
      </c>
      <c r="L359" s="5">
        <f t="shared" si="3"/>
        <v>3750</v>
      </c>
      <c r="M359" s="5">
        <f>IFNA(VLOOKUP(TRIM(E359),Master!D:U,13,0),"")</f>
        <v>444</v>
      </c>
      <c r="N359" s="5">
        <f t="shared" si="4"/>
        <v>1530</v>
      </c>
      <c r="O359" s="16" t="s">
        <v>28</v>
      </c>
      <c r="P359" s="5">
        <f t="shared" si="5"/>
        <v>40.8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3" t="s">
        <v>268</v>
      </c>
      <c r="B360" s="2"/>
      <c r="C360" s="14"/>
      <c r="D360" s="3"/>
      <c r="E360" s="1" t="s">
        <v>33</v>
      </c>
      <c r="F360" s="1" t="str">
        <f t="shared" si="1"/>
        <v>19/02/26PL3040</v>
      </c>
      <c r="G360" s="1" t="str">
        <f t="shared" si="2"/>
        <v>O19/02/26</v>
      </c>
      <c r="H360" s="1" t="str">
        <f>IFNA(VLOOKUP(TRIM(E360),Master!D:M,4,0),"")</f>
        <v>KAWAT BONSAI SILVER NO.1.5 ECERAN</v>
      </c>
      <c r="I360" s="16">
        <v>6.0</v>
      </c>
      <c r="J360" s="5">
        <f>IFNA(VLOOKUP(E360,Master!D:U,14,0),0)</f>
        <v>750</v>
      </c>
      <c r="K360" s="5">
        <v>0.0</v>
      </c>
      <c r="L360" s="5">
        <f t="shared" si="3"/>
        <v>4500</v>
      </c>
      <c r="M360" s="5">
        <f>IFNA(VLOOKUP(TRIM(E360),Master!D:U,13,0),"")</f>
        <v>444</v>
      </c>
      <c r="N360" s="5">
        <f t="shared" si="4"/>
        <v>1836</v>
      </c>
      <c r="O360" s="16" t="s">
        <v>28</v>
      </c>
      <c r="P360" s="5">
        <f t="shared" si="5"/>
        <v>40.8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3" t="s">
        <v>268</v>
      </c>
      <c r="B361" s="2"/>
      <c r="C361" s="14"/>
      <c r="D361" s="3"/>
      <c r="E361" s="1" t="s">
        <v>33</v>
      </c>
      <c r="F361" s="1" t="str">
        <f t="shared" si="1"/>
        <v>19/02/26PL3040</v>
      </c>
      <c r="G361" s="1" t="str">
        <f t="shared" si="2"/>
        <v>O19/02/26</v>
      </c>
      <c r="H361" s="1" t="str">
        <f>IFNA(VLOOKUP(TRIM(E361),Master!D:M,4,0),"")</f>
        <v>KAWAT BONSAI SILVER NO.1.5 ECERAN</v>
      </c>
      <c r="I361" s="16">
        <v>5.0</v>
      </c>
      <c r="J361" s="5">
        <f>IFNA(VLOOKUP(E361,Master!D:U,14,0),0)</f>
        <v>750</v>
      </c>
      <c r="K361" s="5">
        <v>0.0</v>
      </c>
      <c r="L361" s="5">
        <f t="shared" si="3"/>
        <v>3750</v>
      </c>
      <c r="M361" s="5">
        <f>IFNA(VLOOKUP(TRIM(E361),Master!D:U,13,0),"")</f>
        <v>444</v>
      </c>
      <c r="N361" s="5">
        <f t="shared" si="4"/>
        <v>1530</v>
      </c>
      <c r="O361" s="16" t="s">
        <v>28</v>
      </c>
      <c r="P361" s="5">
        <f t="shared" si="5"/>
        <v>40.8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3" t="s">
        <v>268</v>
      </c>
      <c r="B362" s="2"/>
      <c r="C362" s="14"/>
      <c r="D362" s="3"/>
      <c r="E362" s="1" t="s">
        <v>33</v>
      </c>
      <c r="F362" s="1" t="str">
        <f t="shared" si="1"/>
        <v>19/02/26PL3040</v>
      </c>
      <c r="G362" s="1" t="str">
        <f t="shared" si="2"/>
        <v>O19/02/26</v>
      </c>
      <c r="H362" s="1" t="str">
        <f>IFNA(VLOOKUP(TRIM(E362),Master!D:M,4,0),"")</f>
        <v>KAWAT BONSAI SILVER NO.1.5 ECERAN</v>
      </c>
      <c r="I362" s="16">
        <v>5.0</v>
      </c>
      <c r="J362" s="5">
        <f>IFNA(VLOOKUP(E362,Master!D:U,14,0),0)</f>
        <v>750</v>
      </c>
      <c r="K362" s="5">
        <v>0.0</v>
      </c>
      <c r="L362" s="5">
        <f t="shared" si="3"/>
        <v>3750</v>
      </c>
      <c r="M362" s="5">
        <f>IFNA(VLOOKUP(TRIM(E362),Master!D:U,13,0),"")</f>
        <v>444</v>
      </c>
      <c r="N362" s="5">
        <f t="shared" si="4"/>
        <v>1530</v>
      </c>
      <c r="O362" s="16" t="s">
        <v>28</v>
      </c>
      <c r="P362" s="5">
        <f t="shared" si="5"/>
        <v>40.8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3" t="s">
        <v>268</v>
      </c>
      <c r="B363" s="13" t="s">
        <v>270</v>
      </c>
      <c r="C363" s="14"/>
      <c r="D363" s="15">
        <v>1.0</v>
      </c>
      <c r="E363" s="20" t="s">
        <v>37</v>
      </c>
      <c r="F363" s="1" t="str">
        <f t="shared" si="1"/>
        <v>19/02/26MT2050</v>
      </c>
      <c r="G363" s="1" t="str">
        <f t="shared" si="2"/>
        <v>C19/02/26</v>
      </c>
      <c r="H363" s="1" t="str">
        <f>IFNA(VLOOKUP(TRIM(E363),Master!D:M,4,0),"")</f>
        <v>TANAH SUBUR 10KG BINTANG TANI</v>
      </c>
      <c r="I363" s="4">
        <v>1.0</v>
      </c>
      <c r="J363" s="5">
        <f>IFNA(VLOOKUP(E363,Master!D:U,14,0),0)</f>
        <v>10000</v>
      </c>
      <c r="K363" s="5">
        <v>0.0</v>
      </c>
      <c r="L363" s="5">
        <f t="shared" si="3"/>
        <v>10000</v>
      </c>
      <c r="M363" s="5">
        <f>IFNA(VLOOKUP(TRIM(E363),Master!D:U,13,0),"")</f>
        <v>6000</v>
      </c>
      <c r="N363" s="5">
        <f t="shared" si="4"/>
        <v>4000</v>
      </c>
      <c r="O363" s="4" t="s">
        <v>19</v>
      </c>
      <c r="P363" s="5">
        <f t="shared" si="5"/>
        <v>40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3" t="s">
        <v>268</v>
      </c>
      <c r="B364" s="13" t="s">
        <v>271</v>
      </c>
      <c r="C364" s="14"/>
      <c r="D364" s="15">
        <v>1.0</v>
      </c>
      <c r="E364" s="1" t="s">
        <v>34</v>
      </c>
      <c r="F364" s="1" t="str">
        <f t="shared" si="1"/>
        <v>19/02/26MT2053</v>
      </c>
      <c r="G364" s="1" t="str">
        <f t="shared" si="2"/>
        <v>C19/02/26</v>
      </c>
      <c r="H364" s="1" t="str">
        <f>IFNA(VLOOKUP(TRIM(E364),Master!D:M,4,0),"")</f>
        <v>TANAH SUBUR 25KG BINTANG TANI</v>
      </c>
      <c r="I364" s="4">
        <v>1.0</v>
      </c>
      <c r="J364" s="5">
        <f>IFNA(VLOOKUP(E364,Master!D:U,14,0),0)</f>
        <v>25000</v>
      </c>
      <c r="K364" s="5">
        <v>0.0</v>
      </c>
      <c r="L364" s="5">
        <f t="shared" si="3"/>
        <v>25000</v>
      </c>
      <c r="M364" s="5">
        <f>IFNA(VLOOKUP(TRIM(E364),Master!D:U,13,0),"")</f>
        <v>15000</v>
      </c>
      <c r="N364" s="5">
        <f t="shared" si="4"/>
        <v>10000</v>
      </c>
      <c r="O364" s="4" t="s">
        <v>19</v>
      </c>
      <c r="P364" s="5">
        <f t="shared" si="5"/>
        <v>40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3" t="s">
        <v>268</v>
      </c>
      <c r="B365" s="2"/>
      <c r="C365" s="14"/>
      <c r="D365" s="3"/>
      <c r="E365" s="1" t="s">
        <v>272</v>
      </c>
      <c r="F365" s="1" t="str">
        <f t="shared" si="1"/>
        <v>19/02/26MT2045</v>
      </c>
      <c r="G365" s="1" t="str">
        <f t="shared" si="2"/>
        <v>C19/02/26</v>
      </c>
      <c r="H365" s="1" t="str">
        <f>IFNA(VLOOKUP(TRIM(E365),Master!D:M,4,0),"")</f>
        <v>SEKAM MENTAH 25KG</v>
      </c>
      <c r="I365" s="4">
        <v>1.0</v>
      </c>
      <c r="J365" s="5">
        <f>IFNA(VLOOKUP(E365,Master!D:U,14,0),0)</f>
        <v>15000</v>
      </c>
      <c r="K365" s="5">
        <v>0.0</v>
      </c>
      <c r="L365" s="5">
        <f t="shared" si="3"/>
        <v>15000</v>
      </c>
      <c r="M365" s="5">
        <f>IFNA(VLOOKUP(TRIM(E365),Master!D:U,13,0),"")</f>
        <v>8000</v>
      </c>
      <c r="N365" s="5">
        <f t="shared" si="4"/>
        <v>7000</v>
      </c>
      <c r="O365" s="16" t="s">
        <v>19</v>
      </c>
      <c r="P365" s="5">
        <f t="shared" si="5"/>
        <v>46.66666667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3" t="s">
        <v>268</v>
      </c>
      <c r="B366" s="2"/>
      <c r="C366" s="14"/>
      <c r="D366" s="3"/>
      <c r="E366" s="1" t="s">
        <v>39</v>
      </c>
      <c r="F366" s="1" t="str">
        <f t="shared" si="1"/>
        <v>19/02/26PL3066</v>
      </c>
      <c r="G366" s="1" t="str">
        <f t="shared" si="2"/>
        <v>C19/02/26</v>
      </c>
      <c r="H366" s="1" t="str">
        <f>IFNA(VLOOKUP(TRIM(E366),Master!D:M,4,0),"")</f>
        <v>BIBIT BINTANG ASIA</v>
      </c>
      <c r="I366" s="4">
        <v>1.0</v>
      </c>
      <c r="J366" s="5">
        <f>IFNA(VLOOKUP(E366,Master!D:U,14,0),0)</f>
        <v>15000</v>
      </c>
      <c r="K366" s="5">
        <v>0.0</v>
      </c>
      <c r="L366" s="5">
        <f t="shared" si="3"/>
        <v>15000</v>
      </c>
      <c r="M366" s="5">
        <f>IFNA(VLOOKUP(TRIM(E366),Master!D:U,13,0),"")</f>
        <v>12500</v>
      </c>
      <c r="N366" s="5">
        <f t="shared" si="4"/>
        <v>2500</v>
      </c>
      <c r="O366" s="16" t="s">
        <v>19</v>
      </c>
      <c r="P366" s="5">
        <f t="shared" si="5"/>
        <v>16.66666667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3" t="s">
        <v>268</v>
      </c>
      <c r="B367" s="13" t="s">
        <v>273</v>
      </c>
      <c r="C367" s="14"/>
      <c r="D367" s="15">
        <v>1.0</v>
      </c>
      <c r="E367" s="1" t="s">
        <v>74</v>
      </c>
      <c r="F367" s="1" t="str">
        <f t="shared" si="1"/>
        <v>19/02/26PL3026</v>
      </c>
      <c r="G367" s="1" t="str">
        <f t="shared" si="2"/>
        <v>O19/02/26</v>
      </c>
      <c r="H367" s="1" t="str">
        <f>IFNA(VLOOKUP(TRIM(E367),Master!D:M,4,0),"")</f>
        <v>KAWAT BONSAI HITAM NO.1 ECERAN</v>
      </c>
      <c r="I367" s="16">
        <v>15.0</v>
      </c>
      <c r="J367" s="5">
        <f>IFNA(VLOOKUP(E367,Master!D:U,14,0),0)</f>
        <v>750</v>
      </c>
      <c r="K367" s="5">
        <v>0.0</v>
      </c>
      <c r="L367" s="5">
        <f t="shared" si="3"/>
        <v>11250</v>
      </c>
      <c r="M367" s="5">
        <f>IFNA(VLOOKUP(TRIM(E367),Master!D:U,13,0),"")</f>
        <v>407</v>
      </c>
      <c r="N367" s="5">
        <f t="shared" si="4"/>
        <v>5145</v>
      </c>
      <c r="O367" s="16" t="s">
        <v>28</v>
      </c>
      <c r="P367" s="5">
        <f t="shared" si="5"/>
        <v>45.73333333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3" t="s">
        <v>268</v>
      </c>
      <c r="B368" s="2"/>
      <c r="C368" s="14"/>
      <c r="D368" s="3"/>
      <c r="E368" s="17" t="s">
        <v>183</v>
      </c>
      <c r="F368" s="1" t="str">
        <f t="shared" si="1"/>
        <v>19/02/26PL3046</v>
      </c>
      <c r="G368" s="1" t="str">
        <f t="shared" si="2"/>
        <v>O19/02/26</v>
      </c>
      <c r="H368" s="1" t="str">
        <f>IFNA(VLOOKUP(TRIM(E368),Master!D:M,4,0),"")</f>
        <v>KAWAT BONSAI SILVER NO.3 ECERAN</v>
      </c>
      <c r="I368" s="16">
        <v>2.0</v>
      </c>
      <c r="J368" s="5">
        <f>IFNA(VLOOKUP(E368,Master!D:U,14,0),0)</f>
        <v>3000</v>
      </c>
      <c r="K368" s="5">
        <v>0.0</v>
      </c>
      <c r="L368" s="5">
        <f t="shared" si="3"/>
        <v>6000</v>
      </c>
      <c r="M368" s="5">
        <f>IFNA(VLOOKUP(TRIM(E368),Master!D:U,13,0),"")</f>
        <v>2000</v>
      </c>
      <c r="N368" s="5">
        <f t="shared" si="4"/>
        <v>2000</v>
      </c>
      <c r="O368" s="16" t="s">
        <v>28</v>
      </c>
      <c r="P368" s="5">
        <f t="shared" si="5"/>
        <v>33.33333333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3" t="s">
        <v>268</v>
      </c>
      <c r="B369" s="2"/>
      <c r="C369" s="14"/>
      <c r="D369" s="3"/>
      <c r="E369" s="1" t="s">
        <v>60</v>
      </c>
      <c r="F369" s="1" t="str">
        <f t="shared" si="1"/>
        <v>19/02/26PK5066</v>
      </c>
      <c r="G369" s="1" t="str">
        <f t="shared" si="2"/>
        <v>O19/02/26</v>
      </c>
      <c r="H369" s="1" t="str">
        <f>IFNA(VLOOKUP(TRIM(E369),Master!D:M,4,0),"")</f>
        <v>PUPUK XPK 1KG</v>
      </c>
      <c r="I369" s="16">
        <v>2.0</v>
      </c>
      <c r="J369" s="5">
        <f>IFNA(VLOOKUP(E369,Master!D:U,14,0),0)</f>
        <v>90000</v>
      </c>
      <c r="K369" s="5">
        <v>0.0</v>
      </c>
      <c r="L369" s="5">
        <f t="shared" si="3"/>
        <v>180000</v>
      </c>
      <c r="M369" s="5">
        <f>IFNA(VLOOKUP(TRIM(E369),Master!D:U,13,0),"")</f>
        <v>75000</v>
      </c>
      <c r="N369" s="5">
        <f t="shared" si="4"/>
        <v>30000</v>
      </c>
      <c r="O369" s="16" t="s">
        <v>28</v>
      </c>
      <c r="P369" s="5">
        <f t="shared" si="5"/>
        <v>16.66666667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3" t="s">
        <v>268</v>
      </c>
      <c r="B370" s="13" t="s">
        <v>264</v>
      </c>
      <c r="C370" s="14"/>
      <c r="D370" s="15">
        <v>1.0</v>
      </c>
      <c r="E370" s="20" t="s">
        <v>37</v>
      </c>
      <c r="F370" s="1" t="str">
        <f t="shared" si="1"/>
        <v>19/02/26MT2050</v>
      </c>
      <c r="G370" s="1" t="str">
        <f t="shared" si="2"/>
        <v>C19/02/26</v>
      </c>
      <c r="H370" s="1" t="str">
        <f>IFNA(VLOOKUP(TRIM(E370),Master!D:M,4,0),"")</f>
        <v>TANAH SUBUR 10KG BINTANG TANI</v>
      </c>
      <c r="I370" s="16">
        <v>2.0</v>
      </c>
      <c r="J370" s="5">
        <f>IFNA(VLOOKUP(E370,Master!D:U,14,0),0)</f>
        <v>10000</v>
      </c>
      <c r="K370" s="5">
        <v>0.0</v>
      </c>
      <c r="L370" s="5">
        <f t="shared" si="3"/>
        <v>20000</v>
      </c>
      <c r="M370" s="5">
        <f>IFNA(VLOOKUP(TRIM(E370),Master!D:U,13,0),"")</f>
        <v>6000</v>
      </c>
      <c r="N370" s="5">
        <f t="shared" si="4"/>
        <v>8000</v>
      </c>
      <c r="O370" s="4" t="s">
        <v>19</v>
      </c>
      <c r="P370" s="5">
        <f t="shared" si="5"/>
        <v>40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3" t="s">
        <v>268</v>
      </c>
      <c r="B371" s="13" t="s">
        <v>274</v>
      </c>
      <c r="C371" s="14"/>
      <c r="D371" s="15">
        <v>1.0</v>
      </c>
      <c r="E371" s="20" t="s">
        <v>94</v>
      </c>
      <c r="F371" s="1" t="str">
        <f t="shared" si="1"/>
        <v>19/02/26MT2039</v>
      </c>
      <c r="G371" s="1" t="str">
        <f t="shared" si="2"/>
        <v>C19/02/26</v>
      </c>
      <c r="H371" s="1" t="str">
        <f>IFNA(VLOOKUP(TRIM(E371),Master!D:M,4,0),"")</f>
        <v>SEKAM BAKAR 10KG</v>
      </c>
      <c r="I371" s="4">
        <v>1.0</v>
      </c>
      <c r="J371" s="5">
        <f>IFNA(VLOOKUP(E371,Master!D:U,14,0),0)</f>
        <v>12000</v>
      </c>
      <c r="K371" s="5">
        <v>0.0</v>
      </c>
      <c r="L371" s="5">
        <f t="shared" si="3"/>
        <v>12000</v>
      </c>
      <c r="M371" s="5">
        <f>IFNA(VLOOKUP(TRIM(E371),Master!D:U,13,0),"")</f>
        <v>6000</v>
      </c>
      <c r="N371" s="5">
        <f t="shared" si="4"/>
        <v>6000</v>
      </c>
      <c r="O371" s="4" t="s">
        <v>19</v>
      </c>
      <c r="P371" s="5">
        <f t="shared" si="5"/>
        <v>50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3" t="s">
        <v>268</v>
      </c>
      <c r="B372" s="13" t="s">
        <v>76</v>
      </c>
      <c r="C372" s="14"/>
      <c r="D372" s="15">
        <v>1.0</v>
      </c>
      <c r="E372" s="1" t="s">
        <v>275</v>
      </c>
      <c r="F372" s="1" t="str">
        <f t="shared" si="1"/>
        <v>19/02/26PL3098</v>
      </c>
      <c r="G372" s="1" t="str">
        <f t="shared" si="2"/>
        <v>C19/02/26</v>
      </c>
      <c r="H372" s="1" t="str">
        <f>IFNA(VLOOKUP(TRIM(E372),Master!D:M,4,0),"")</f>
        <v>TURUS 100CM</v>
      </c>
      <c r="I372" s="4">
        <v>1.0</v>
      </c>
      <c r="J372" s="5">
        <f>IFNA(VLOOKUP(E372,Master!D:U,14,0),0)</f>
        <v>30000</v>
      </c>
      <c r="K372" s="5">
        <v>0.0</v>
      </c>
      <c r="L372" s="5">
        <f t="shared" si="3"/>
        <v>30000</v>
      </c>
      <c r="M372" s="5">
        <f>IFNA(VLOOKUP(TRIM(E372),Master!D:U,13,0),"")</f>
        <v>23500</v>
      </c>
      <c r="N372" s="5">
        <f t="shared" si="4"/>
        <v>6500</v>
      </c>
      <c r="O372" s="4" t="s">
        <v>19</v>
      </c>
      <c r="P372" s="5">
        <f t="shared" si="5"/>
        <v>21.66666667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3" t="s">
        <v>268</v>
      </c>
      <c r="B373" s="2"/>
      <c r="C373" s="14"/>
      <c r="D373" s="3"/>
      <c r="E373" s="1" t="s">
        <v>199</v>
      </c>
      <c r="F373" s="1" t="str">
        <f t="shared" si="1"/>
        <v>19/02/26PL3119</v>
      </c>
      <c r="G373" s="1" t="str">
        <f t="shared" si="2"/>
        <v>C19/02/26</v>
      </c>
      <c r="H373" s="1" t="str">
        <f>IFNA(VLOOKUP(TRIM(E373),Master!D:M,4,0),"")</f>
        <v>TURUS 60CM</v>
      </c>
      <c r="I373" s="4">
        <v>1.0</v>
      </c>
      <c r="J373" s="18">
        <v>18000.0</v>
      </c>
      <c r="K373" s="5">
        <v>0.0</v>
      </c>
      <c r="L373" s="5">
        <f t="shared" si="3"/>
        <v>18000</v>
      </c>
      <c r="M373" s="5">
        <f>IFNA(VLOOKUP(TRIM(E373),Master!D:U,13,0),"")</f>
        <v>12500</v>
      </c>
      <c r="N373" s="5">
        <f t="shared" si="4"/>
        <v>5500</v>
      </c>
      <c r="O373" s="4" t="s">
        <v>19</v>
      </c>
      <c r="P373" s="5">
        <f t="shared" si="5"/>
        <v>30.55555556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3" t="s">
        <v>268</v>
      </c>
      <c r="B374" s="13" t="s">
        <v>113</v>
      </c>
      <c r="C374" s="14"/>
      <c r="D374" s="15">
        <v>1.0</v>
      </c>
      <c r="E374" s="1" t="s">
        <v>22</v>
      </c>
      <c r="F374" s="1" t="str">
        <f t="shared" si="1"/>
        <v>19/02/26MT2037</v>
      </c>
      <c r="G374" s="1" t="str">
        <f t="shared" si="2"/>
        <v>C19/02/26</v>
      </c>
      <c r="H374" s="1" t="str">
        <f>IFNA(VLOOKUP(TRIM(E374),Master!D:M,4,0),"")</f>
        <v>PUPUK KOMPOS 5KG</v>
      </c>
      <c r="I374" s="16">
        <v>3.0</v>
      </c>
      <c r="J374" s="5">
        <f>IFNA(VLOOKUP(E374,Master!D:U,14,0),0)</f>
        <v>10000</v>
      </c>
      <c r="K374" s="5">
        <v>0.0</v>
      </c>
      <c r="L374" s="5">
        <f t="shared" si="3"/>
        <v>30000</v>
      </c>
      <c r="M374" s="5">
        <f>IFNA(VLOOKUP(TRIM(E374),Master!D:U,13,0),"")</f>
        <v>5000</v>
      </c>
      <c r="N374" s="5">
        <f t="shared" si="4"/>
        <v>15000</v>
      </c>
      <c r="O374" s="4" t="s">
        <v>19</v>
      </c>
      <c r="P374" s="5">
        <f t="shared" si="5"/>
        <v>50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3" t="s">
        <v>268</v>
      </c>
      <c r="B375" s="2"/>
      <c r="C375" s="14"/>
      <c r="D375" s="3"/>
      <c r="E375" s="1" t="s">
        <v>102</v>
      </c>
      <c r="F375" s="1" t="str">
        <f t="shared" si="1"/>
        <v>19/02/26PS4011</v>
      </c>
      <c r="G375" s="1" t="str">
        <f t="shared" si="2"/>
        <v>C19/02/26</v>
      </c>
      <c r="H375" s="1" t="str">
        <f>IFNA(VLOOKUP(TRIM(E375),Master!D:M,4,0),"")</f>
        <v>STARLON 665 EC HERBISIDA 100ML</v>
      </c>
      <c r="I375" s="4">
        <v>1.0</v>
      </c>
      <c r="J375" s="5">
        <f>IFNA(VLOOKUP(E375,Master!D:U,14,0),0)</f>
        <v>45000</v>
      </c>
      <c r="K375" s="5">
        <v>0.0</v>
      </c>
      <c r="L375" s="5">
        <f t="shared" si="3"/>
        <v>45000</v>
      </c>
      <c r="M375" s="5">
        <f>IFNA(VLOOKUP(TRIM(E375),Master!D:U,13,0),"")</f>
        <v>35000</v>
      </c>
      <c r="N375" s="5">
        <f t="shared" si="4"/>
        <v>10000</v>
      </c>
      <c r="O375" s="16" t="s">
        <v>19</v>
      </c>
      <c r="P375" s="5">
        <f t="shared" si="5"/>
        <v>22.22222222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3" t="s">
        <v>268</v>
      </c>
      <c r="B376" s="13" t="s">
        <v>61</v>
      </c>
      <c r="C376" s="14"/>
      <c r="D376" s="15">
        <v>1.0</v>
      </c>
      <c r="E376" s="20" t="s">
        <v>37</v>
      </c>
      <c r="F376" s="1" t="str">
        <f t="shared" si="1"/>
        <v>19/02/26MT2050</v>
      </c>
      <c r="G376" s="1" t="str">
        <f t="shared" si="2"/>
        <v>C19/02/26</v>
      </c>
      <c r="H376" s="1" t="str">
        <f>IFNA(VLOOKUP(TRIM(E376),Master!D:M,4,0),"")</f>
        <v>TANAH SUBUR 10KG BINTANG TANI</v>
      </c>
      <c r="I376" s="16">
        <v>2.0</v>
      </c>
      <c r="J376" s="5">
        <f>IFNA(VLOOKUP(E376,Master!D:U,14,0),0)</f>
        <v>10000</v>
      </c>
      <c r="K376" s="5">
        <v>0.0</v>
      </c>
      <c r="L376" s="5">
        <f t="shared" si="3"/>
        <v>20000</v>
      </c>
      <c r="M376" s="5">
        <f>IFNA(VLOOKUP(TRIM(E376),Master!D:U,13,0),"")</f>
        <v>6000</v>
      </c>
      <c r="N376" s="5">
        <f t="shared" si="4"/>
        <v>8000</v>
      </c>
      <c r="O376" s="16" t="s">
        <v>19</v>
      </c>
      <c r="P376" s="5">
        <f t="shared" si="5"/>
        <v>40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3" t="s">
        <v>268</v>
      </c>
      <c r="B377" s="13" t="s">
        <v>276</v>
      </c>
      <c r="C377" s="14"/>
      <c r="D377" s="15">
        <v>1.0</v>
      </c>
      <c r="E377" s="17" t="s">
        <v>42</v>
      </c>
      <c r="F377" s="1" t="str">
        <f t="shared" si="1"/>
        <v>19/02/26PL3042</v>
      </c>
      <c r="G377" s="1" t="str">
        <f t="shared" si="2"/>
        <v>O19/02/26</v>
      </c>
      <c r="H377" s="1" t="str">
        <f>IFNA(VLOOKUP(TRIM(E377),Master!D:M,4,0),"")</f>
        <v>KAWAT BONSAI SILVER NO.2 ECERAN</v>
      </c>
      <c r="I377" s="16">
        <v>15.0</v>
      </c>
      <c r="J377" s="5">
        <f>IFNA(VLOOKUP(E377,Master!D:U,14,0),0)</f>
        <v>1500</v>
      </c>
      <c r="K377" s="5">
        <v>0.0</v>
      </c>
      <c r="L377" s="5">
        <f t="shared" si="3"/>
        <v>22500</v>
      </c>
      <c r="M377" s="5">
        <f>IFNA(VLOOKUP(TRIM(E377),Master!D:U,13,0),"")</f>
        <v>800</v>
      </c>
      <c r="N377" s="5">
        <f t="shared" si="4"/>
        <v>10500</v>
      </c>
      <c r="O377" s="16" t="s">
        <v>28</v>
      </c>
      <c r="P377" s="5">
        <f t="shared" si="5"/>
        <v>46.66666667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3" t="s">
        <v>268</v>
      </c>
      <c r="B378" s="2"/>
      <c r="C378" s="14"/>
      <c r="D378" s="3"/>
      <c r="E378" s="1" t="s">
        <v>33</v>
      </c>
      <c r="F378" s="1" t="str">
        <f t="shared" si="1"/>
        <v>19/02/26PL3040</v>
      </c>
      <c r="G378" s="1" t="str">
        <f t="shared" si="2"/>
        <v>O19/02/26</v>
      </c>
      <c r="H378" s="1" t="str">
        <f>IFNA(VLOOKUP(TRIM(E378),Master!D:M,4,0),"")</f>
        <v>KAWAT BONSAI SILVER NO.1.5 ECERAN</v>
      </c>
      <c r="I378" s="16">
        <v>5.0</v>
      </c>
      <c r="J378" s="5">
        <f>IFNA(VLOOKUP(E378,Master!D:U,14,0),0)</f>
        <v>750</v>
      </c>
      <c r="K378" s="5">
        <v>0.0</v>
      </c>
      <c r="L378" s="5">
        <f t="shared" si="3"/>
        <v>3750</v>
      </c>
      <c r="M378" s="5">
        <f>IFNA(VLOOKUP(TRIM(E378),Master!D:U,13,0),"")</f>
        <v>444</v>
      </c>
      <c r="N378" s="5">
        <f t="shared" si="4"/>
        <v>1530</v>
      </c>
      <c r="O378" s="16" t="s">
        <v>28</v>
      </c>
      <c r="P378" s="5">
        <f t="shared" si="5"/>
        <v>40.8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3" t="s">
        <v>268</v>
      </c>
      <c r="B379" s="2"/>
      <c r="C379" s="14"/>
      <c r="D379" s="3"/>
      <c r="E379" s="1" t="s">
        <v>33</v>
      </c>
      <c r="F379" s="1" t="str">
        <f t="shared" si="1"/>
        <v>19/02/26PL3040</v>
      </c>
      <c r="G379" s="1" t="str">
        <f t="shared" si="2"/>
        <v>O19/02/26</v>
      </c>
      <c r="H379" s="1" t="str">
        <f>IFNA(VLOOKUP(TRIM(E379),Master!D:M,4,0),"")</f>
        <v>KAWAT BONSAI SILVER NO.1.5 ECERAN</v>
      </c>
      <c r="I379" s="16">
        <v>6.0</v>
      </c>
      <c r="J379" s="5">
        <f>IFNA(VLOOKUP(E379,Master!D:U,14,0),0)</f>
        <v>750</v>
      </c>
      <c r="K379" s="5">
        <v>0.0</v>
      </c>
      <c r="L379" s="5">
        <f t="shared" si="3"/>
        <v>4500</v>
      </c>
      <c r="M379" s="5">
        <f>IFNA(VLOOKUP(TRIM(E379),Master!D:U,13,0),"")</f>
        <v>444</v>
      </c>
      <c r="N379" s="5">
        <f t="shared" si="4"/>
        <v>1836</v>
      </c>
      <c r="O379" s="16" t="s">
        <v>28</v>
      </c>
      <c r="P379" s="5">
        <f t="shared" si="5"/>
        <v>40.8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3" t="s">
        <v>268</v>
      </c>
      <c r="B380" s="2"/>
      <c r="C380" s="14"/>
      <c r="D380" s="3"/>
      <c r="E380" s="17" t="s">
        <v>42</v>
      </c>
      <c r="F380" s="1" t="str">
        <f t="shared" si="1"/>
        <v>19/02/26PL3042</v>
      </c>
      <c r="G380" s="1" t="str">
        <f t="shared" si="2"/>
        <v>O19/02/26</v>
      </c>
      <c r="H380" s="1" t="str">
        <f>IFNA(VLOOKUP(TRIM(E380),Master!D:M,4,0),"")</f>
        <v>KAWAT BONSAI SILVER NO.2 ECERAN</v>
      </c>
      <c r="I380" s="16">
        <v>6.0</v>
      </c>
      <c r="J380" s="5">
        <f>IFNA(VLOOKUP(E380,Master!D:U,14,0),0)</f>
        <v>1500</v>
      </c>
      <c r="K380" s="5">
        <v>0.0</v>
      </c>
      <c r="L380" s="5">
        <f t="shared" si="3"/>
        <v>9000</v>
      </c>
      <c r="M380" s="5">
        <f>IFNA(VLOOKUP(TRIM(E380),Master!D:U,13,0),"")</f>
        <v>800</v>
      </c>
      <c r="N380" s="5">
        <f t="shared" si="4"/>
        <v>4200</v>
      </c>
      <c r="O380" s="16" t="s">
        <v>28</v>
      </c>
      <c r="P380" s="5">
        <f t="shared" si="5"/>
        <v>46.66666667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3" t="s">
        <v>268</v>
      </c>
      <c r="B381" s="2"/>
      <c r="C381" s="14"/>
      <c r="D381" s="3"/>
      <c r="E381" s="17" t="s">
        <v>183</v>
      </c>
      <c r="F381" s="1" t="str">
        <f t="shared" si="1"/>
        <v>19/02/26PL3046</v>
      </c>
      <c r="G381" s="1" t="str">
        <f t="shared" si="2"/>
        <v>O19/02/26</v>
      </c>
      <c r="H381" s="1" t="str">
        <f>IFNA(VLOOKUP(TRIM(E381),Master!D:M,4,0),"")</f>
        <v>KAWAT BONSAI SILVER NO.3 ECERAN</v>
      </c>
      <c r="I381" s="16">
        <v>5.0</v>
      </c>
      <c r="J381" s="5">
        <f>IFNA(VLOOKUP(E381,Master!D:U,14,0),0)</f>
        <v>3000</v>
      </c>
      <c r="K381" s="5">
        <v>0.0</v>
      </c>
      <c r="L381" s="5">
        <f t="shared" si="3"/>
        <v>15000</v>
      </c>
      <c r="M381" s="5">
        <f>IFNA(VLOOKUP(TRIM(E381),Master!D:U,13,0),"")</f>
        <v>2000</v>
      </c>
      <c r="N381" s="5">
        <f t="shared" si="4"/>
        <v>5000</v>
      </c>
      <c r="O381" s="16" t="s">
        <v>28</v>
      </c>
      <c r="P381" s="5">
        <f t="shared" si="5"/>
        <v>33.33333333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3" t="s">
        <v>268</v>
      </c>
      <c r="B382" s="2"/>
      <c r="C382" s="14"/>
      <c r="D382" s="3"/>
      <c r="E382" s="1" t="s">
        <v>277</v>
      </c>
      <c r="F382" s="1" t="str">
        <f t="shared" si="1"/>
        <v>19/02/26PL3009</v>
      </c>
      <c r="G382" s="1" t="str">
        <f t="shared" si="2"/>
        <v>O19/02/26</v>
      </c>
      <c r="H382" s="1" t="str">
        <f>IFNA(VLOOKUP(TRIM(E382),Master!D:M,4,0),"")</f>
        <v>GUNTING PRUNING HIJAU-KUNING 16CM</v>
      </c>
      <c r="I382" s="4">
        <v>1.0</v>
      </c>
      <c r="J382" s="5">
        <f>IFNA(VLOOKUP(E382,Master!D:U,14,0),0)</f>
        <v>45000</v>
      </c>
      <c r="K382" s="5">
        <v>0.0</v>
      </c>
      <c r="L382" s="5">
        <f t="shared" si="3"/>
        <v>45000</v>
      </c>
      <c r="M382" s="5">
        <f>IFNA(VLOOKUP(TRIM(E382),Master!D:U,13,0),"")</f>
        <v>16000</v>
      </c>
      <c r="N382" s="5">
        <f t="shared" si="4"/>
        <v>29000</v>
      </c>
      <c r="O382" s="16" t="s">
        <v>28</v>
      </c>
      <c r="P382" s="5">
        <f t="shared" si="5"/>
        <v>64.44444444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3" t="s">
        <v>278</v>
      </c>
      <c r="B383" s="13" t="s">
        <v>104</v>
      </c>
      <c r="C383" s="14"/>
      <c r="D383" s="15">
        <v>1.0</v>
      </c>
      <c r="E383" s="1" t="s">
        <v>259</v>
      </c>
      <c r="F383" s="1" t="str">
        <f t="shared" si="1"/>
        <v>20/02/26PK5022</v>
      </c>
      <c r="G383" s="1" t="str">
        <f t="shared" si="2"/>
        <v>I20/02/26</v>
      </c>
      <c r="H383" s="1" t="str">
        <f>IFNA(VLOOKUP(TRIM(E383),Master!D:M,4,0),"")</f>
        <v>KAPUR DOLOMITE 1KG</v>
      </c>
      <c r="I383" s="16">
        <v>2.0</v>
      </c>
      <c r="J383" s="18">
        <v>3500.0</v>
      </c>
      <c r="K383" s="5">
        <v>0.0</v>
      </c>
      <c r="L383" s="5">
        <f t="shared" si="3"/>
        <v>7000</v>
      </c>
      <c r="M383" s="5"/>
      <c r="N383" s="5">
        <f t="shared" si="4"/>
        <v>7000</v>
      </c>
      <c r="O383" s="16" t="s">
        <v>23</v>
      </c>
      <c r="P383" s="5">
        <f t="shared" si="5"/>
        <v>100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3" t="s">
        <v>278</v>
      </c>
      <c r="B384" s="2"/>
      <c r="C384" s="14"/>
      <c r="D384" s="3"/>
      <c r="E384" s="20" t="s">
        <v>37</v>
      </c>
      <c r="F384" s="1" t="str">
        <f t="shared" si="1"/>
        <v>20/02/26MT2050</v>
      </c>
      <c r="G384" s="1" t="str">
        <f t="shared" si="2"/>
        <v>I20/02/26</v>
      </c>
      <c r="H384" s="1" t="str">
        <f>IFNA(VLOOKUP(TRIM(E384),Master!D:M,4,0),"")</f>
        <v>TANAH SUBUR 10KG BINTANG TANI</v>
      </c>
      <c r="I384" s="4">
        <v>1.0</v>
      </c>
      <c r="J384" s="5">
        <f>IFNA(VLOOKUP(E384,Master!D:U,14,0),0)</f>
        <v>10000</v>
      </c>
      <c r="K384" s="5">
        <v>0.0</v>
      </c>
      <c r="L384" s="5">
        <f t="shared" si="3"/>
        <v>10000</v>
      </c>
      <c r="M384" s="5">
        <f>IFNA(VLOOKUP(TRIM(E384),Master!D:U,13,0),"")</f>
        <v>6000</v>
      </c>
      <c r="N384" s="5">
        <f t="shared" si="4"/>
        <v>4000</v>
      </c>
      <c r="O384" s="16" t="s">
        <v>23</v>
      </c>
      <c r="P384" s="5">
        <f t="shared" si="5"/>
        <v>40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3" t="s">
        <v>278</v>
      </c>
      <c r="B385" s="2"/>
      <c r="C385" s="14"/>
      <c r="D385" s="3"/>
      <c r="E385" s="1" t="s">
        <v>18</v>
      </c>
      <c r="F385" s="1" t="str">
        <f t="shared" si="1"/>
        <v>20/02/26PK5043</v>
      </c>
      <c r="G385" s="1" t="str">
        <f t="shared" si="2"/>
        <v>I20/02/26</v>
      </c>
      <c r="H385" s="1" t="str">
        <f>IFNA(VLOOKUP(TRIM(E385),Master!D:M,4,0),"")</f>
        <v>PUPUK KAMBING 5KG</v>
      </c>
      <c r="I385" s="4">
        <v>1.0</v>
      </c>
      <c r="J385" s="5">
        <f>IFNA(VLOOKUP(E385,Master!D:U,14,0),0)</f>
        <v>15000</v>
      </c>
      <c r="K385" s="5">
        <v>0.0</v>
      </c>
      <c r="L385" s="5">
        <f t="shared" si="3"/>
        <v>15000</v>
      </c>
      <c r="M385" s="5">
        <f>IFNA(VLOOKUP(TRIM(E385),Master!D:U,13,0),"")</f>
        <v>8000</v>
      </c>
      <c r="N385" s="5">
        <f t="shared" si="4"/>
        <v>7000</v>
      </c>
      <c r="O385" s="16" t="s">
        <v>23</v>
      </c>
      <c r="P385" s="5">
        <f t="shared" si="5"/>
        <v>46.66666667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3" t="s">
        <v>278</v>
      </c>
      <c r="B386" s="2"/>
      <c r="C386" s="14"/>
      <c r="D386" s="3"/>
      <c r="E386" s="20" t="s">
        <v>37</v>
      </c>
      <c r="F386" s="1" t="str">
        <f t="shared" si="1"/>
        <v>20/02/26MT2050</v>
      </c>
      <c r="G386" s="1" t="str">
        <f t="shared" si="2"/>
        <v>I20/02/26</v>
      </c>
      <c r="H386" s="1" t="str">
        <f>IFNA(VLOOKUP(TRIM(E386),Master!D:M,4,0),"")</f>
        <v>TANAH SUBUR 10KG BINTANG TANI</v>
      </c>
      <c r="I386" s="16">
        <v>2.0</v>
      </c>
      <c r="J386" s="5">
        <f>IFNA(VLOOKUP(E386,Master!D:U,14,0),0)</f>
        <v>10000</v>
      </c>
      <c r="K386" s="5">
        <v>0.0</v>
      </c>
      <c r="L386" s="5">
        <f t="shared" si="3"/>
        <v>20000</v>
      </c>
      <c r="M386" s="5">
        <f>IFNA(VLOOKUP(TRIM(E386),Master!D:U,13,0),"")</f>
        <v>6000</v>
      </c>
      <c r="N386" s="5">
        <f t="shared" si="4"/>
        <v>8000</v>
      </c>
      <c r="O386" s="16" t="s">
        <v>23</v>
      </c>
      <c r="P386" s="5">
        <f t="shared" si="5"/>
        <v>40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3" t="s">
        <v>278</v>
      </c>
      <c r="B387" s="13" t="s">
        <v>279</v>
      </c>
      <c r="C387" s="14"/>
      <c r="D387" s="15">
        <v>1.0</v>
      </c>
      <c r="E387" s="20" t="s">
        <v>37</v>
      </c>
      <c r="F387" s="1" t="str">
        <f t="shared" si="1"/>
        <v>20/02/26MT2050</v>
      </c>
      <c r="G387" s="1" t="str">
        <f t="shared" si="2"/>
        <v>C20/02/26</v>
      </c>
      <c r="H387" s="1" t="str">
        <f>IFNA(VLOOKUP(TRIM(E387),Master!D:M,4,0),"")</f>
        <v>TANAH SUBUR 10KG BINTANG TANI</v>
      </c>
      <c r="I387" s="4">
        <v>1.0</v>
      </c>
      <c r="J387" s="5">
        <f>IFNA(VLOOKUP(E387,Master!D:U,14,0),0)</f>
        <v>10000</v>
      </c>
      <c r="K387" s="5">
        <v>0.0</v>
      </c>
      <c r="L387" s="5">
        <f t="shared" si="3"/>
        <v>10000</v>
      </c>
      <c r="M387" s="5">
        <f>IFNA(VLOOKUP(TRIM(E387),Master!D:U,13,0),"")</f>
        <v>6000</v>
      </c>
      <c r="N387" s="5">
        <f t="shared" si="4"/>
        <v>4000</v>
      </c>
      <c r="O387" s="4" t="s">
        <v>19</v>
      </c>
      <c r="P387" s="5">
        <f t="shared" si="5"/>
        <v>40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3" t="s">
        <v>278</v>
      </c>
      <c r="B388" s="13" t="s">
        <v>279</v>
      </c>
      <c r="C388" s="14"/>
      <c r="D388" s="15">
        <v>1.0</v>
      </c>
      <c r="E388" s="1" t="s">
        <v>34</v>
      </c>
      <c r="F388" s="1" t="str">
        <f t="shared" si="1"/>
        <v>20/02/26MT2053</v>
      </c>
      <c r="G388" s="1" t="str">
        <f t="shared" si="2"/>
        <v>T20/02/26</v>
      </c>
      <c r="H388" s="1" t="str">
        <f>IFNA(VLOOKUP(TRIM(E388),Master!D:M,4,0),"")</f>
        <v>TANAH SUBUR 25KG BINTANG TANI</v>
      </c>
      <c r="I388" s="16">
        <v>4.0</v>
      </c>
      <c r="J388" s="5">
        <f>IFNA(VLOOKUP(E388,Master!D:U,14,0),0)</f>
        <v>25000</v>
      </c>
      <c r="K388" s="5">
        <v>0.0</v>
      </c>
      <c r="L388" s="5">
        <f t="shared" si="3"/>
        <v>100000</v>
      </c>
      <c r="M388" s="5">
        <f>IFNA(VLOOKUP(TRIM(E388),Master!D:U,13,0),"")</f>
        <v>15000</v>
      </c>
      <c r="N388" s="5">
        <f t="shared" si="4"/>
        <v>40000</v>
      </c>
      <c r="O388" s="16" t="s">
        <v>77</v>
      </c>
      <c r="P388" s="5">
        <f t="shared" si="5"/>
        <v>40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3" t="s">
        <v>278</v>
      </c>
      <c r="B389" s="2"/>
      <c r="C389" s="14"/>
      <c r="D389" s="3"/>
      <c r="E389" s="1" t="s">
        <v>220</v>
      </c>
      <c r="F389" s="1" t="str">
        <f t="shared" si="1"/>
        <v>20/02/26MT2024</v>
      </c>
      <c r="G389" s="1" t="str">
        <f t="shared" si="2"/>
        <v>T20/02/26</v>
      </c>
      <c r="H389" s="1" t="str">
        <f>IFNA(VLOOKUP(TRIM(E389),Master!D:M,4,0),"")</f>
        <v>PASIR MALANG 25KG</v>
      </c>
      <c r="I389" s="16">
        <v>2.0</v>
      </c>
      <c r="J389" s="5">
        <f>IFNA(VLOOKUP(E389,Master!D:U,14,0),0)</f>
        <v>35000</v>
      </c>
      <c r="K389" s="5">
        <v>0.0</v>
      </c>
      <c r="L389" s="5">
        <f t="shared" si="3"/>
        <v>70000</v>
      </c>
      <c r="M389" s="5">
        <f>IFNA(VLOOKUP(TRIM(E389),Master!D:U,13,0),"")</f>
        <v>25000</v>
      </c>
      <c r="N389" s="5">
        <f t="shared" si="4"/>
        <v>20000</v>
      </c>
      <c r="O389" s="16" t="s">
        <v>77</v>
      </c>
      <c r="P389" s="5">
        <f t="shared" si="5"/>
        <v>28.57142857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3" t="s">
        <v>278</v>
      </c>
      <c r="B390" s="13" t="s">
        <v>280</v>
      </c>
      <c r="C390" s="14"/>
      <c r="D390" s="15">
        <v>1.0</v>
      </c>
      <c r="E390" s="1" t="s">
        <v>22</v>
      </c>
      <c r="F390" s="1" t="str">
        <f t="shared" si="1"/>
        <v>20/02/26MT2037</v>
      </c>
      <c r="G390" s="1" t="str">
        <f t="shared" si="2"/>
        <v>I20/02/26</v>
      </c>
      <c r="H390" s="1" t="str">
        <f>IFNA(VLOOKUP(TRIM(E390),Master!D:M,4,0),"")</f>
        <v>PUPUK KOMPOS 5KG</v>
      </c>
      <c r="I390" s="16">
        <v>2.0</v>
      </c>
      <c r="J390" s="5">
        <f>IFNA(VLOOKUP(E390,Master!D:U,14,0),0)</f>
        <v>10000</v>
      </c>
      <c r="K390" s="5">
        <v>0.0</v>
      </c>
      <c r="L390" s="5">
        <f t="shared" si="3"/>
        <v>20000</v>
      </c>
      <c r="M390" s="5">
        <f>IFNA(VLOOKUP(TRIM(E390),Master!D:U,13,0),"")</f>
        <v>5000</v>
      </c>
      <c r="N390" s="5">
        <f t="shared" si="4"/>
        <v>10000</v>
      </c>
      <c r="O390" s="16" t="s">
        <v>23</v>
      </c>
      <c r="P390" s="5">
        <f t="shared" si="5"/>
        <v>50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3" t="s">
        <v>278</v>
      </c>
      <c r="B391" s="2"/>
      <c r="C391" s="14"/>
      <c r="D391" s="3"/>
      <c r="E391" s="1" t="s">
        <v>201</v>
      </c>
      <c r="F391" s="1" t="str">
        <f t="shared" si="1"/>
        <v>20/02/26PS4020</v>
      </c>
      <c r="G391" s="1" t="str">
        <f t="shared" si="2"/>
        <v>I20/02/26</v>
      </c>
      <c r="H391" s="1" t="str">
        <f>IFNA(VLOOKUP(TRIM(E391),Master!D:M,4,0),"")</f>
        <v>KALIANDRA 50ML</v>
      </c>
      <c r="I391" s="16">
        <v>2.0</v>
      </c>
      <c r="J391" s="5">
        <f>IFNA(VLOOKUP(E391,Master!D:U,14,0),0)</f>
        <v>35000</v>
      </c>
      <c r="K391" s="5">
        <v>0.0</v>
      </c>
      <c r="L391" s="5">
        <f t="shared" si="3"/>
        <v>70000</v>
      </c>
      <c r="M391" s="5">
        <f>IFNA(VLOOKUP(TRIM(E391),Master!D:U,13,0),"")</f>
        <v>27000</v>
      </c>
      <c r="N391" s="5">
        <f t="shared" si="4"/>
        <v>16000</v>
      </c>
      <c r="O391" s="16" t="s">
        <v>23</v>
      </c>
      <c r="P391" s="5">
        <f t="shared" si="5"/>
        <v>22.85714286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3" t="s">
        <v>278</v>
      </c>
      <c r="B392" s="13" t="s">
        <v>192</v>
      </c>
      <c r="C392" s="14"/>
      <c r="D392" s="15">
        <v>1.0</v>
      </c>
      <c r="E392" s="1" t="s">
        <v>213</v>
      </c>
      <c r="F392" s="1" t="str">
        <f t="shared" si="1"/>
        <v>20/02/26PK5070</v>
      </c>
      <c r="G392" s="1" t="str">
        <f t="shared" si="2"/>
        <v>C20/02/26</v>
      </c>
      <c r="H392" s="1" t="str">
        <f>IFNA(VLOOKUP(TRIM(E392),Master!D:M,4,0),"")</f>
        <v>VITAMIN B1 100ML</v>
      </c>
      <c r="I392" s="4">
        <v>1.0</v>
      </c>
      <c r="J392" s="5">
        <f>IFNA(VLOOKUP(E392,Master!D:U,14,0),0)</f>
        <v>20000</v>
      </c>
      <c r="K392" s="5">
        <v>0.0</v>
      </c>
      <c r="L392" s="5">
        <f t="shared" si="3"/>
        <v>20000</v>
      </c>
      <c r="M392" s="5">
        <f>IFNA(VLOOKUP(TRIM(E392),Master!D:U,13,0),"")</f>
        <v>9300</v>
      </c>
      <c r="N392" s="5">
        <f t="shared" si="4"/>
        <v>10700</v>
      </c>
      <c r="O392" s="4" t="s">
        <v>19</v>
      </c>
      <c r="P392" s="5">
        <f t="shared" si="5"/>
        <v>53.5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3" t="s">
        <v>278</v>
      </c>
      <c r="B393" s="13" t="s">
        <v>192</v>
      </c>
      <c r="C393" s="14"/>
      <c r="D393" s="15">
        <v>1.0</v>
      </c>
      <c r="E393" s="20" t="s">
        <v>37</v>
      </c>
      <c r="F393" s="1" t="str">
        <f t="shared" si="1"/>
        <v>20/02/26MT2050</v>
      </c>
      <c r="G393" s="1" t="str">
        <f t="shared" si="2"/>
        <v>C20/02/26</v>
      </c>
      <c r="H393" s="1" t="str">
        <f>IFNA(VLOOKUP(TRIM(E393),Master!D:M,4,0),"")</f>
        <v>TANAH SUBUR 10KG BINTANG TANI</v>
      </c>
      <c r="I393" s="4">
        <v>1.0</v>
      </c>
      <c r="J393" s="5">
        <f>IFNA(VLOOKUP(E393,Master!D:U,14,0),0)</f>
        <v>10000</v>
      </c>
      <c r="K393" s="5">
        <v>0.0</v>
      </c>
      <c r="L393" s="5">
        <f t="shared" si="3"/>
        <v>10000</v>
      </c>
      <c r="M393" s="5">
        <f>IFNA(VLOOKUP(TRIM(E393),Master!D:U,13,0),"")</f>
        <v>6000</v>
      </c>
      <c r="N393" s="5">
        <f t="shared" si="4"/>
        <v>4000</v>
      </c>
      <c r="O393" s="16" t="s">
        <v>19</v>
      </c>
      <c r="P393" s="5">
        <f t="shared" si="5"/>
        <v>40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3" t="s">
        <v>278</v>
      </c>
      <c r="B394" s="13" t="s">
        <v>281</v>
      </c>
      <c r="C394" s="14"/>
      <c r="D394" s="15">
        <v>1.0</v>
      </c>
      <c r="E394" s="20" t="s">
        <v>37</v>
      </c>
      <c r="F394" s="1" t="str">
        <f t="shared" si="1"/>
        <v>20/02/26MT2050</v>
      </c>
      <c r="G394" s="1" t="str">
        <f t="shared" si="2"/>
        <v>C20/02/26</v>
      </c>
      <c r="H394" s="1" t="str">
        <f>IFNA(VLOOKUP(TRIM(E394),Master!D:M,4,0),"")</f>
        <v>TANAH SUBUR 10KG BINTANG TANI</v>
      </c>
      <c r="I394" s="4">
        <v>1.0</v>
      </c>
      <c r="J394" s="5">
        <f>IFNA(VLOOKUP(E394,Master!D:U,14,0),0)</f>
        <v>10000</v>
      </c>
      <c r="K394" s="5">
        <v>0.0</v>
      </c>
      <c r="L394" s="5">
        <f t="shared" si="3"/>
        <v>10000</v>
      </c>
      <c r="M394" s="5">
        <f>IFNA(VLOOKUP(TRIM(E394),Master!D:U,13,0),"")</f>
        <v>6000</v>
      </c>
      <c r="N394" s="5">
        <f t="shared" si="4"/>
        <v>4000</v>
      </c>
      <c r="O394" s="16" t="s">
        <v>19</v>
      </c>
      <c r="P394" s="5">
        <f t="shared" si="5"/>
        <v>40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3" t="s">
        <v>278</v>
      </c>
      <c r="B395" s="13" t="s">
        <v>282</v>
      </c>
      <c r="C395" s="14"/>
      <c r="D395" s="15">
        <v>1.0</v>
      </c>
      <c r="E395" s="1" t="s">
        <v>223</v>
      </c>
      <c r="F395" s="1" t="str">
        <f t="shared" si="1"/>
        <v>20/02/26PL3050</v>
      </c>
      <c r="G395" s="1" t="str">
        <f t="shared" si="2"/>
        <v>O20/02/26</v>
      </c>
      <c r="H395" s="1" t="str">
        <f>IFNA(VLOOKUP(TRIM(E395),Master!D:M,4,0),"")</f>
        <v>KAWAT BONSAI SILVER NO.4 ECERAN</v>
      </c>
      <c r="I395" s="16">
        <v>3.0</v>
      </c>
      <c r="J395" s="5">
        <f>IFNA(VLOOKUP(E395,Master!D:U,14,0),0)</f>
        <v>5000</v>
      </c>
      <c r="K395" s="5">
        <v>0.0</v>
      </c>
      <c r="L395" s="5">
        <f t="shared" si="3"/>
        <v>15000</v>
      </c>
      <c r="M395" s="5">
        <f>IFNA(VLOOKUP(TRIM(E395),Master!D:U,13,0),"")</f>
        <v>4000</v>
      </c>
      <c r="N395" s="5">
        <f t="shared" si="4"/>
        <v>3000</v>
      </c>
      <c r="O395" s="16" t="s">
        <v>28</v>
      </c>
      <c r="P395" s="5">
        <f t="shared" si="5"/>
        <v>20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3" t="s">
        <v>278</v>
      </c>
      <c r="B396" s="13" t="s">
        <v>283</v>
      </c>
      <c r="C396" s="14"/>
      <c r="D396" s="15">
        <v>1.0</v>
      </c>
      <c r="E396" s="1" t="s">
        <v>34</v>
      </c>
      <c r="F396" s="1" t="str">
        <f t="shared" si="1"/>
        <v>20/02/26MT2053</v>
      </c>
      <c r="G396" s="1" t="str">
        <f t="shared" si="2"/>
        <v>C20/02/26</v>
      </c>
      <c r="H396" s="1" t="str">
        <f>IFNA(VLOOKUP(TRIM(E396),Master!D:M,4,0),"")</f>
        <v>TANAH SUBUR 25KG BINTANG TANI</v>
      </c>
      <c r="I396" s="4">
        <v>1.0</v>
      </c>
      <c r="J396" s="5">
        <f>IFNA(VLOOKUP(E396,Master!D:U,14,0),0)</f>
        <v>25000</v>
      </c>
      <c r="K396" s="5">
        <v>0.0</v>
      </c>
      <c r="L396" s="5">
        <f t="shared" si="3"/>
        <v>25000</v>
      </c>
      <c r="M396" s="5">
        <f>IFNA(VLOOKUP(TRIM(E396),Master!D:U,13,0),"")</f>
        <v>15000</v>
      </c>
      <c r="N396" s="5">
        <f t="shared" si="4"/>
        <v>10000</v>
      </c>
      <c r="O396" s="4" t="s">
        <v>19</v>
      </c>
      <c r="P396" s="5">
        <f t="shared" si="5"/>
        <v>40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3" t="s">
        <v>278</v>
      </c>
      <c r="B397" s="13"/>
      <c r="C397" s="14"/>
      <c r="D397" s="3"/>
      <c r="E397" s="1" t="s">
        <v>284</v>
      </c>
      <c r="F397" s="1" t="str">
        <f t="shared" si="1"/>
        <v>20/02/26PK5017</v>
      </c>
      <c r="G397" s="1" t="str">
        <f t="shared" si="2"/>
        <v>C20/02/26</v>
      </c>
      <c r="H397" s="1" t="str">
        <f>IFNA(VLOOKUP(TRIM(E397),Master!D:M,4,0),"")</f>
        <v>GANDASIL B 100ML</v>
      </c>
      <c r="I397" s="16">
        <v>2.0</v>
      </c>
      <c r="J397" s="5">
        <f>IFNA(VLOOKUP(E397,Master!D:U,14,0),0)</f>
        <v>15000</v>
      </c>
      <c r="K397" s="5">
        <v>0.0</v>
      </c>
      <c r="L397" s="5">
        <f t="shared" si="3"/>
        <v>30000</v>
      </c>
      <c r="M397" s="5">
        <f>IFNA(VLOOKUP(TRIM(E397),Master!D:U,13,0),"")</f>
        <v>11000</v>
      </c>
      <c r="N397" s="5">
        <f t="shared" si="4"/>
        <v>8000</v>
      </c>
      <c r="O397" s="4" t="s">
        <v>19</v>
      </c>
      <c r="P397" s="5">
        <f t="shared" si="5"/>
        <v>26.66666667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3" t="s">
        <v>278</v>
      </c>
      <c r="B398" s="13" t="s">
        <v>283</v>
      </c>
      <c r="C398" s="14"/>
      <c r="D398" s="15">
        <v>1.0</v>
      </c>
      <c r="E398" s="1" t="s">
        <v>34</v>
      </c>
      <c r="F398" s="1" t="str">
        <f t="shared" si="1"/>
        <v>20/02/26MT2053</v>
      </c>
      <c r="G398" s="1" t="str">
        <f t="shared" si="2"/>
        <v>C20/02/26</v>
      </c>
      <c r="H398" s="1" t="str">
        <f>IFNA(VLOOKUP(TRIM(E398),Master!D:M,4,0),"")</f>
        <v>TANAH SUBUR 25KG BINTANG TANI</v>
      </c>
      <c r="I398" s="4">
        <v>1.0</v>
      </c>
      <c r="J398" s="5">
        <f>IFNA(VLOOKUP(E398,Master!D:U,14,0),0)</f>
        <v>25000</v>
      </c>
      <c r="K398" s="5">
        <v>0.0</v>
      </c>
      <c r="L398" s="5">
        <f t="shared" si="3"/>
        <v>25000</v>
      </c>
      <c r="M398" s="5">
        <f>IFNA(VLOOKUP(TRIM(E398),Master!D:U,13,0),"")</f>
        <v>15000</v>
      </c>
      <c r="N398" s="5">
        <f t="shared" si="4"/>
        <v>10000</v>
      </c>
      <c r="O398" s="4" t="s">
        <v>19</v>
      </c>
      <c r="P398" s="5">
        <f t="shared" si="5"/>
        <v>40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3" t="s">
        <v>278</v>
      </c>
      <c r="B399" s="2"/>
      <c r="C399" s="14"/>
      <c r="D399" s="3"/>
      <c r="E399" s="1" t="s">
        <v>181</v>
      </c>
      <c r="F399" s="1" t="str">
        <f t="shared" si="1"/>
        <v>20/02/26PL3109</v>
      </c>
      <c r="G399" s="1" t="str">
        <f t="shared" si="2"/>
        <v>C20/02/26</v>
      </c>
      <c r="H399" s="1" t="str">
        <f>IFNA(VLOOKUP(TRIM(E399),Master!D:M,4,0),"")</f>
        <v>POLYBAG 20</v>
      </c>
      <c r="I399" s="4">
        <v>1.0</v>
      </c>
      <c r="J399" s="5">
        <f>IFNA(VLOOKUP(E399,Master!D:U,14,0),0)</f>
        <v>5000</v>
      </c>
      <c r="K399" s="5">
        <v>0.0</v>
      </c>
      <c r="L399" s="5">
        <f t="shared" si="3"/>
        <v>5000</v>
      </c>
      <c r="M399" s="5">
        <f>IFNA(VLOOKUP(TRIM(E399),Master!D:U,13,0),"")</f>
        <v>3500</v>
      </c>
      <c r="N399" s="5">
        <f t="shared" si="4"/>
        <v>1500</v>
      </c>
      <c r="O399" s="4" t="s">
        <v>19</v>
      </c>
      <c r="P399" s="5">
        <f t="shared" si="5"/>
        <v>30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3" t="s">
        <v>278</v>
      </c>
      <c r="B400" s="13" t="s">
        <v>285</v>
      </c>
      <c r="C400" s="14"/>
      <c r="D400" s="15">
        <v>1.0</v>
      </c>
      <c r="E400" s="1" t="s">
        <v>286</v>
      </c>
      <c r="F400" s="1" t="str">
        <f t="shared" si="1"/>
        <v>20/02/26PL3101</v>
      </c>
      <c r="G400" s="1" t="str">
        <f t="shared" si="2"/>
        <v>C20/02/26</v>
      </c>
      <c r="H400" s="1" t="str">
        <f>IFNA(VLOOKUP(TRIM(E400),Master!D:M,4,0),"")</f>
        <v>PLANTER BAG 28L</v>
      </c>
      <c r="I400" s="16">
        <v>2.0</v>
      </c>
      <c r="J400" s="5">
        <f>IFNA(VLOOKUP(E400,Master!D:U,14,0),0)</f>
        <v>15000</v>
      </c>
      <c r="K400" s="5">
        <v>0.0</v>
      </c>
      <c r="L400" s="5">
        <f t="shared" si="3"/>
        <v>30000</v>
      </c>
      <c r="M400" s="5">
        <f>IFNA(VLOOKUP(TRIM(E400),Master!D:U,13,0),"")</f>
        <v>12000</v>
      </c>
      <c r="N400" s="5">
        <f t="shared" si="4"/>
        <v>6000</v>
      </c>
      <c r="O400" s="4" t="s">
        <v>19</v>
      </c>
      <c r="P400" s="5">
        <f t="shared" si="5"/>
        <v>20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3" t="s">
        <v>278</v>
      </c>
      <c r="B401" s="13" t="s">
        <v>285</v>
      </c>
      <c r="C401" s="14"/>
      <c r="D401" s="15">
        <v>1.0</v>
      </c>
      <c r="E401" s="1" t="s">
        <v>132</v>
      </c>
      <c r="F401" s="1" t="str">
        <f t="shared" si="1"/>
        <v>20/02/26PL3085</v>
      </c>
      <c r="G401" s="1" t="str">
        <f t="shared" si="2"/>
        <v>O20/02/26</v>
      </c>
      <c r="H401" s="1" t="str">
        <f>IFNA(VLOOKUP(TRIM(E401),Master!D:M,4,0),"")</f>
        <v>SALEP KAMBIUM 100ML</v>
      </c>
      <c r="I401" s="4">
        <v>1.0</v>
      </c>
      <c r="J401" s="5">
        <f>IFNA(VLOOKUP(E401,Master!D:U,14,0),0)</f>
        <v>35000</v>
      </c>
      <c r="K401" s="5">
        <v>0.0</v>
      </c>
      <c r="L401" s="5">
        <f t="shared" si="3"/>
        <v>35000</v>
      </c>
      <c r="M401" s="5">
        <f>IFNA(VLOOKUP(TRIM(E401),Master!D:U,13,0),"")</f>
        <v>16078</v>
      </c>
      <c r="N401" s="5">
        <f t="shared" si="4"/>
        <v>18922</v>
      </c>
      <c r="O401" s="16" t="s">
        <v>28</v>
      </c>
      <c r="P401" s="5">
        <f t="shared" si="5"/>
        <v>54.06285714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3" t="s">
        <v>287</v>
      </c>
      <c r="B402" s="13" t="s">
        <v>288</v>
      </c>
      <c r="C402" s="14"/>
      <c r="D402" s="15">
        <v>1.0</v>
      </c>
      <c r="E402" s="1" t="s">
        <v>289</v>
      </c>
      <c r="F402" s="1" t="str">
        <f t="shared" si="1"/>
        <v>21/02/26PS4025</v>
      </c>
      <c r="G402" s="1" t="str">
        <f t="shared" si="2"/>
        <v>I21/02/26</v>
      </c>
      <c r="H402" s="1" t="str">
        <f>IFNA(VLOOKUP(TRIM(E402),Master!D:M,4,0),"")</f>
        <v>REGENT 50ML</v>
      </c>
      <c r="I402" s="4">
        <v>1.0</v>
      </c>
      <c r="J402" s="5">
        <f>IFNA(VLOOKUP(E402,Master!D:U,14,0),0)</f>
        <v>35000</v>
      </c>
      <c r="K402" s="5">
        <v>0.0</v>
      </c>
      <c r="L402" s="5">
        <f t="shared" si="3"/>
        <v>35000</v>
      </c>
      <c r="M402" s="5">
        <f>IFNA(VLOOKUP(TRIM(E402),Master!D:U,13,0),"")</f>
        <v>24500</v>
      </c>
      <c r="N402" s="5">
        <f t="shared" si="4"/>
        <v>10500</v>
      </c>
      <c r="O402" s="16" t="s">
        <v>23</v>
      </c>
      <c r="P402" s="5">
        <f t="shared" si="5"/>
        <v>30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3" t="s">
        <v>287</v>
      </c>
      <c r="B403" s="13" t="s">
        <v>290</v>
      </c>
      <c r="C403" s="14"/>
      <c r="D403" s="15">
        <v>1.0</v>
      </c>
      <c r="E403" s="20" t="s">
        <v>37</v>
      </c>
      <c r="F403" s="1" t="str">
        <f t="shared" si="1"/>
        <v>21/02/26MT2050</v>
      </c>
      <c r="G403" s="1" t="str">
        <f t="shared" si="2"/>
        <v>C21/02/26</v>
      </c>
      <c r="H403" s="1" t="str">
        <f>IFNA(VLOOKUP(TRIM(E403),Master!D:M,4,0),"")</f>
        <v>TANAH SUBUR 10KG BINTANG TANI</v>
      </c>
      <c r="I403" s="16">
        <v>3.0</v>
      </c>
      <c r="J403" s="5">
        <f>IFNA(VLOOKUP(E403,Master!D:U,14,0),0)</f>
        <v>10000</v>
      </c>
      <c r="K403" s="5">
        <v>0.0</v>
      </c>
      <c r="L403" s="5">
        <f t="shared" si="3"/>
        <v>30000</v>
      </c>
      <c r="M403" s="5">
        <f>IFNA(VLOOKUP(TRIM(E403),Master!D:U,13,0),"")</f>
        <v>6000</v>
      </c>
      <c r="N403" s="5">
        <f t="shared" si="4"/>
        <v>12000</v>
      </c>
      <c r="O403" s="4" t="s">
        <v>19</v>
      </c>
      <c r="P403" s="5">
        <f t="shared" si="5"/>
        <v>40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3" t="s">
        <v>287</v>
      </c>
      <c r="B404" s="13" t="s">
        <v>290</v>
      </c>
      <c r="C404" s="14"/>
      <c r="D404" s="15">
        <v>1.0</v>
      </c>
      <c r="E404" s="1" t="s">
        <v>223</v>
      </c>
      <c r="F404" s="1" t="str">
        <f t="shared" si="1"/>
        <v>21/02/26PL3050</v>
      </c>
      <c r="G404" s="1" t="str">
        <f t="shared" si="2"/>
        <v>O21/02/26</v>
      </c>
      <c r="H404" s="1" t="str">
        <f>IFNA(VLOOKUP(TRIM(E404),Master!D:M,4,0),"")</f>
        <v>KAWAT BONSAI SILVER NO.4 ECERAN</v>
      </c>
      <c r="I404" s="4">
        <v>1.0</v>
      </c>
      <c r="J404" s="5">
        <f>IFNA(VLOOKUP(E404,Master!D:U,14,0),0)</f>
        <v>5000</v>
      </c>
      <c r="K404" s="5">
        <v>0.0</v>
      </c>
      <c r="L404" s="5">
        <f t="shared" si="3"/>
        <v>5000</v>
      </c>
      <c r="M404" s="5">
        <f>IFNA(VLOOKUP(TRIM(E404),Master!D:U,13,0),"")</f>
        <v>4000</v>
      </c>
      <c r="N404" s="5">
        <f t="shared" si="4"/>
        <v>1000</v>
      </c>
      <c r="O404" s="16" t="s">
        <v>28</v>
      </c>
      <c r="P404" s="5">
        <f t="shared" si="5"/>
        <v>20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3" t="s">
        <v>287</v>
      </c>
      <c r="B405" s="2"/>
      <c r="C405" s="14"/>
      <c r="D405" s="3"/>
      <c r="E405" s="1" t="s">
        <v>259</v>
      </c>
      <c r="F405" s="1" t="str">
        <f t="shared" si="1"/>
        <v>21/02/26PK5022</v>
      </c>
      <c r="G405" s="1" t="str">
        <f t="shared" si="2"/>
        <v>O21/02/26</v>
      </c>
      <c r="H405" s="1" t="str">
        <f>IFNA(VLOOKUP(TRIM(E405),Master!D:M,4,0),"")</f>
        <v>KAPUR DOLOMITE 1KG</v>
      </c>
      <c r="I405" s="4">
        <v>1.0</v>
      </c>
      <c r="J405" s="18">
        <v>3500.0</v>
      </c>
      <c r="K405" s="5">
        <v>0.0</v>
      </c>
      <c r="L405" s="5">
        <f t="shared" si="3"/>
        <v>3500</v>
      </c>
      <c r="M405" s="5"/>
      <c r="N405" s="5">
        <f t="shared" si="4"/>
        <v>3500</v>
      </c>
      <c r="O405" s="16" t="s">
        <v>28</v>
      </c>
      <c r="P405" s="5">
        <f t="shared" si="5"/>
        <v>100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3" t="s">
        <v>287</v>
      </c>
      <c r="B406" s="2"/>
      <c r="C406" s="14"/>
      <c r="D406" s="3"/>
      <c r="E406" s="17" t="s">
        <v>74</v>
      </c>
      <c r="F406" s="1" t="str">
        <f t="shared" si="1"/>
        <v>21/02/26PL3026</v>
      </c>
      <c r="G406" s="1" t="str">
        <f t="shared" si="2"/>
        <v>O21/02/26</v>
      </c>
      <c r="H406" s="1" t="str">
        <f>IFNA(VLOOKUP(TRIM(E406),Master!D:M,4,0),"")</f>
        <v>KAWAT BONSAI HITAM NO.1 ECERAN</v>
      </c>
      <c r="I406" s="16">
        <v>8.0</v>
      </c>
      <c r="J406" s="5">
        <f>IFNA(VLOOKUP(E406,Master!D:U,14,0),0)</f>
        <v>750</v>
      </c>
      <c r="K406" s="5">
        <v>0.0</v>
      </c>
      <c r="L406" s="5">
        <f t="shared" si="3"/>
        <v>6000</v>
      </c>
      <c r="M406" s="5">
        <f>IFNA(VLOOKUP(TRIM(E406),Master!D:U,13,0),"")</f>
        <v>407</v>
      </c>
      <c r="N406" s="5">
        <f t="shared" si="4"/>
        <v>2744</v>
      </c>
      <c r="O406" s="16" t="s">
        <v>28</v>
      </c>
      <c r="P406" s="5">
        <f t="shared" si="5"/>
        <v>45.73333333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3" t="s">
        <v>287</v>
      </c>
      <c r="B407" s="2"/>
      <c r="C407" s="14"/>
      <c r="D407" s="3"/>
      <c r="E407" s="1" t="s">
        <v>29</v>
      </c>
      <c r="F407" s="1" t="str">
        <f t="shared" si="1"/>
        <v>21/02/26PL3028</v>
      </c>
      <c r="G407" s="1" t="str">
        <f t="shared" si="2"/>
        <v>O21/02/26</v>
      </c>
      <c r="H407" s="1" t="str">
        <f>IFNA(VLOOKUP(TRIM(E407),Master!D:M,4,0),"")</f>
        <v>KAWAT BONSAI HITAM NO.2 ECERAN</v>
      </c>
      <c r="I407" s="16">
        <v>5.0</v>
      </c>
      <c r="J407" s="5">
        <f>IFNA(VLOOKUP(E407,Master!D:U,14,0),0)</f>
        <v>2000</v>
      </c>
      <c r="K407" s="5">
        <v>0.0</v>
      </c>
      <c r="L407" s="5">
        <f t="shared" si="3"/>
        <v>10000</v>
      </c>
      <c r="M407" s="5">
        <f>IFNA(VLOOKUP(TRIM(E407),Master!D:U,13,0),"")</f>
        <v>1220</v>
      </c>
      <c r="N407" s="5">
        <f t="shared" si="4"/>
        <v>3900</v>
      </c>
      <c r="O407" s="16" t="s">
        <v>28</v>
      </c>
      <c r="P407" s="5">
        <f t="shared" si="5"/>
        <v>39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3" t="s">
        <v>287</v>
      </c>
      <c r="B408" s="13" t="s">
        <v>246</v>
      </c>
      <c r="C408" s="14"/>
      <c r="D408" s="15">
        <v>1.0</v>
      </c>
      <c r="E408" s="20" t="s">
        <v>37</v>
      </c>
      <c r="F408" s="1" t="str">
        <f t="shared" si="1"/>
        <v>21/02/26MT2050</v>
      </c>
      <c r="G408" s="1" t="str">
        <f t="shared" si="2"/>
        <v>C21/02/26</v>
      </c>
      <c r="H408" s="1" t="str">
        <f>IFNA(VLOOKUP(TRIM(E408),Master!D:M,4,0),"")</f>
        <v>TANAH SUBUR 10KG BINTANG TANI</v>
      </c>
      <c r="I408" s="4">
        <v>1.0</v>
      </c>
      <c r="J408" s="5">
        <f>IFNA(VLOOKUP(E408,Master!D:U,14,0),0)</f>
        <v>10000</v>
      </c>
      <c r="K408" s="5">
        <v>0.0</v>
      </c>
      <c r="L408" s="5">
        <f t="shared" si="3"/>
        <v>10000</v>
      </c>
      <c r="M408" s="5">
        <f>IFNA(VLOOKUP(TRIM(E408),Master!D:U,13,0),"")</f>
        <v>6000</v>
      </c>
      <c r="N408" s="5">
        <f t="shared" si="4"/>
        <v>4000</v>
      </c>
      <c r="O408" s="4" t="s">
        <v>19</v>
      </c>
      <c r="P408" s="5">
        <f t="shared" si="5"/>
        <v>40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3" t="s">
        <v>287</v>
      </c>
      <c r="B409" s="2"/>
      <c r="C409" s="14"/>
      <c r="D409" s="3"/>
      <c r="E409" s="1" t="s">
        <v>34</v>
      </c>
      <c r="F409" s="1" t="str">
        <f t="shared" si="1"/>
        <v>21/02/26MT2053</v>
      </c>
      <c r="G409" s="1" t="str">
        <f t="shared" si="2"/>
        <v>C21/02/26</v>
      </c>
      <c r="H409" s="1" t="str">
        <f>IFNA(VLOOKUP(TRIM(E409),Master!D:M,4,0),"")</f>
        <v>TANAH SUBUR 25KG BINTANG TANI</v>
      </c>
      <c r="I409" s="4">
        <v>1.0</v>
      </c>
      <c r="J409" s="5">
        <f>IFNA(VLOOKUP(E409,Master!D:U,14,0),0)</f>
        <v>25000</v>
      </c>
      <c r="K409" s="5">
        <v>0.0</v>
      </c>
      <c r="L409" s="5">
        <f t="shared" si="3"/>
        <v>25000</v>
      </c>
      <c r="M409" s="5">
        <f>IFNA(VLOOKUP(TRIM(E409),Master!D:U,13,0),"")</f>
        <v>15000</v>
      </c>
      <c r="N409" s="5">
        <f t="shared" si="4"/>
        <v>10000</v>
      </c>
      <c r="O409" s="4" t="s">
        <v>19</v>
      </c>
      <c r="P409" s="5">
        <f t="shared" si="5"/>
        <v>40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3" t="s">
        <v>287</v>
      </c>
      <c r="B410" s="2"/>
      <c r="C410" s="14"/>
      <c r="D410" s="3"/>
      <c r="E410" s="1" t="s">
        <v>35</v>
      </c>
      <c r="F410" s="1" t="str">
        <f t="shared" si="1"/>
        <v>21/02/26PL3113</v>
      </c>
      <c r="G410" s="1" t="str">
        <f t="shared" si="2"/>
        <v>C21/02/26</v>
      </c>
      <c r="H410" s="1" t="str">
        <f>IFNA(VLOOKUP(TRIM(E410),Master!D:M,4,0),"")</f>
        <v>POLYBAG 30</v>
      </c>
      <c r="I410" s="4">
        <v>1.0</v>
      </c>
      <c r="J410" s="5">
        <f>IFNA(VLOOKUP(E410,Master!D:U,14,0),0)</f>
        <v>5000</v>
      </c>
      <c r="K410" s="5">
        <v>0.0</v>
      </c>
      <c r="L410" s="5">
        <f t="shared" si="3"/>
        <v>5000</v>
      </c>
      <c r="M410" s="5">
        <f>IFNA(VLOOKUP(TRIM(E410),Master!D:U,13,0),"")</f>
        <v>3500</v>
      </c>
      <c r="N410" s="5">
        <f t="shared" si="4"/>
        <v>1500</v>
      </c>
      <c r="O410" s="4" t="s">
        <v>19</v>
      </c>
      <c r="P410" s="5">
        <f t="shared" si="5"/>
        <v>30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3" t="s">
        <v>287</v>
      </c>
      <c r="B411" s="13" t="s">
        <v>291</v>
      </c>
      <c r="C411" s="14"/>
      <c r="D411" s="15">
        <v>1.0</v>
      </c>
      <c r="E411" s="1" t="s">
        <v>56</v>
      </c>
      <c r="F411" s="1" t="str">
        <f t="shared" si="1"/>
        <v>21/02/26PK5064</v>
      </c>
      <c r="G411" s="1" t="str">
        <f t="shared" si="2"/>
        <v>C21/02/26</v>
      </c>
      <c r="H411" s="1" t="str">
        <f>IFNA(VLOOKUP(TRIM(E411),Master!D:M,4,0),"")</f>
        <v>PUPUK UREA 1KG</v>
      </c>
      <c r="I411" s="4">
        <v>1.0</v>
      </c>
      <c r="J411" s="5">
        <f>IFNA(VLOOKUP(E411,Master!D:U,14,0),0)</f>
        <v>14000</v>
      </c>
      <c r="K411" s="5">
        <v>0.0</v>
      </c>
      <c r="L411" s="5">
        <f t="shared" si="3"/>
        <v>14000</v>
      </c>
      <c r="M411" s="5">
        <f>IFNA(VLOOKUP(TRIM(E411),Master!D:U,13,0),"")</f>
        <v>10000</v>
      </c>
      <c r="N411" s="5">
        <f t="shared" si="4"/>
        <v>4000</v>
      </c>
      <c r="O411" s="4" t="s">
        <v>19</v>
      </c>
      <c r="P411" s="5">
        <f t="shared" si="5"/>
        <v>28.57142857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3" t="s">
        <v>292</v>
      </c>
      <c r="B412" s="13" t="s">
        <v>293</v>
      </c>
      <c r="C412" s="14"/>
      <c r="D412" s="15">
        <v>1.0</v>
      </c>
      <c r="E412" s="1" t="s">
        <v>29</v>
      </c>
      <c r="F412" s="1" t="str">
        <f t="shared" si="1"/>
        <v>22/02/26PL3028</v>
      </c>
      <c r="G412" s="1" t="str">
        <f t="shared" si="2"/>
        <v>O22/02/26</v>
      </c>
      <c r="H412" s="1" t="str">
        <f>IFNA(VLOOKUP(TRIM(E412),Master!D:M,4,0),"")</f>
        <v>KAWAT BONSAI HITAM NO.2 ECERAN</v>
      </c>
      <c r="I412" s="16">
        <v>5.0</v>
      </c>
      <c r="J412" s="5">
        <f>IFNA(VLOOKUP(E412,Master!D:U,14,0),0)</f>
        <v>2000</v>
      </c>
      <c r="K412" s="5">
        <v>0.0</v>
      </c>
      <c r="L412" s="5">
        <f t="shared" si="3"/>
        <v>10000</v>
      </c>
      <c r="M412" s="5">
        <f>IFNA(VLOOKUP(TRIM(E412),Master!D:U,13,0),"")</f>
        <v>1220</v>
      </c>
      <c r="N412" s="5">
        <f t="shared" si="4"/>
        <v>3900</v>
      </c>
      <c r="O412" s="16" t="s">
        <v>28</v>
      </c>
      <c r="P412" s="5">
        <f t="shared" si="5"/>
        <v>39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3" t="s">
        <v>292</v>
      </c>
      <c r="B413" s="2"/>
      <c r="C413" s="14"/>
      <c r="D413" s="3"/>
      <c r="E413" s="17" t="s">
        <v>265</v>
      </c>
      <c r="F413" s="1" t="str">
        <f t="shared" si="1"/>
        <v>22/02/26PL3030</v>
      </c>
      <c r="G413" s="1" t="str">
        <f t="shared" si="2"/>
        <v>O22/02/26</v>
      </c>
      <c r="H413" s="1" t="str">
        <f>IFNA(VLOOKUP(TRIM(E413),Master!D:M,4,0),"")</f>
        <v>KAWAT BONSAI HITAM NO.3 ECERAN</v>
      </c>
      <c r="I413" s="16">
        <v>15.0</v>
      </c>
      <c r="J413" s="5">
        <f>IFNA(VLOOKUP(E413,Master!D:U,14,0),0)</f>
        <v>4500</v>
      </c>
      <c r="K413" s="5">
        <v>0.0</v>
      </c>
      <c r="L413" s="5">
        <f t="shared" si="3"/>
        <v>67500</v>
      </c>
      <c r="M413" s="5">
        <f>IFNA(VLOOKUP(TRIM(E413),Master!D:U,13,0),"")</f>
        <v>3050</v>
      </c>
      <c r="N413" s="5">
        <f t="shared" si="4"/>
        <v>21750</v>
      </c>
      <c r="O413" s="16" t="s">
        <v>28</v>
      </c>
      <c r="P413" s="5">
        <f t="shared" si="5"/>
        <v>32.22222222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3" t="s">
        <v>292</v>
      </c>
      <c r="B414" s="13" t="s">
        <v>294</v>
      </c>
      <c r="C414" s="14"/>
      <c r="D414" s="15">
        <v>1.0</v>
      </c>
      <c r="E414" s="17" t="s">
        <v>295</v>
      </c>
      <c r="F414" s="1" t="str">
        <f t="shared" si="1"/>
        <v>22/02/26PL3111</v>
      </c>
      <c r="G414" s="1" t="str">
        <f t="shared" si="2"/>
        <v>C22/02/26</v>
      </c>
      <c r="H414" s="1" t="str">
        <f>IFNA(VLOOKUP(TRIM(E414),Master!D:M,4,0),"")</f>
        <v>POLYBAG 25</v>
      </c>
      <c r="I414" s="4">
        <v>1.0</v>
      </c>
      <c r="J414" s="5">
        <f>IFNA(VLOOKUP(E414,Master!D:U,14,0),0)</f>
        <v>5000</v>
      </c>
      <c r="K414" s="5">
        <v>0.0</v>
      </c>
      <c r="L414" s="5">
        <f t="shared" si="3"/>
        <v>5000</v>
      </c>
      <c r="M414" s="5">
        <f>IFNA(VLOOKUP(TRIM(E414),Master!D:U,13,0),"")</f>
        <v>3500</v>
      </c>
      <c r="N414" s="5">
        <f t="shared" si="4"/>
        <v>1500</v>
      </c>
      <c r="O414" s="4" t="s">
        <v>19</v>
      </c>
      <c r="P414" s="5">
        <f t="shared" si="5"/>
        <v>30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3" t="s">
        <v>292</v>
      </c>
      <c r="B415" s="13" t="s">
        <v>294</v>
      </c>
      <c r="C415" s="14"/>
      <c r="D415" s="15">
        <v>1.0</v>
      </c>
      <c r="E415" s="1" t="s">
        <v>186</v>
      </c>
      <c r="F415" s="1" t="str">
        <f t="shared" si="1"/>
        <v>22/02/26PL3158</v>
      </c>
      <c r="G415" s="1" t="str">
        <f t="shared" si="2"/>
        <v>C22/02/26</v>
      </c>
      <c r="H415" s="1" t="str">
        <f>IFNA(VLOOKUP(TRIM(E415),Master!D:M,4,0),"")</f>
        <v>POT GMP HITAM 17 POLOS</v>
      </c>
      <c r="I415" s="16">
        <v>3.0</v>
      </c>
      <c r="J415" s="5">
        <f>IFNA(VLOOKUP(E415,Master!D:U,14,0),0)</f>
        <v>2500</v>
      </c>
      <c r="K415" s="5">
        <v>0.0</v>
      </c>
      <c r="L415" s="5">
        <f t="shared" si="3"/>
        <v>7500</v>
      </c>
      <c r="M415" s="5">
        <f>IFNA(VLOOKUP(TRIM(E415),Master!D:U,13,0),"")</f>
        <v>1875</v>
      </c>
      <c r="N415" s="5">
        <f t="shared" si="4"/>
        <v>1875</v>
      </c>
      <c r="O415" s="4" t="s">
        <v>19</v>
      </c>
      <c r="P415" s="5">
        <f t="shared" si="5"/>
        <v>25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3" t="s">
        <v>292</v>
      </c>
      <c r="B416" s="2"/>
      <c r="C416" s="14"/>
      <c r="D416" s="3"/>
      <c r="E416" s="1" t="s">
        <v>296</v>
      </c>
      <c r="F416" s="1" t="str">
        <f t="shared" si="1"/>
        <v>22/02/26PL3159</v>
      </c>
      <c r="G416" s="1" t="str">
        <f t="shared" si="2"/>
        <v>C22/02/26</v>
      </c>
      <c r="H416" s="1" t="str">
        <f>IFNA(VLOOKUP(TRIM(E416),Master!D:M,4,0),"")</f>
        <v>POT GMP HITAM 20 POLOS</v>
      </c>
      <c r="I416" s="16">
        <v>4.0</v>
      </c>
      <c r="J416" s="5">
        <f>IFNA(VLOOKUP(E416,Master!D:U,14,0),0)</f>
        <v>3500</v>
      </c>
      <c r="K416" s="5">
        <v>0.0</v>
      </c>
      <c r="L416" s="5">
        <f t="shared" si="3"/>
        <v>14000</v>
      </c>
      <c r="M416" s="5">
        <f>IFNA(VLOOKUP(TRIM(E416),Master!D:U,13,0),"")</f>
        <v>2250</v>
      </c>
      <c r="N416" s="5">
        <f t="shared" si="4"/>
        <v>5000</v>
      </c>
      <c r="O416" s="4" t="s">
        <v>19</v>
      </c>
      <c r="P416" s="5">
        <f t="shared" si="5"/>
        <v>35.71428571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3" t="s">
        <v>292</v>
      </c>
      <c r="B417" s="2"/>
      <c r="C417" s="14"/>
      <c r="D417" s="3"/>
      <c r="E417" s="1" t="s">
        <v>297</v>
      </c>
      <c r="F417" s="1" t="str">
        <f t="shared" si="1"/>
        <v>22/02/26PL3088</v>
      </c>
      <c r="G417" s="1" t="str">
        <f t="shared" si="2"/>
        <v>C22/02/26</v>
      </c>
      <c r="H417" s="1" t="str">
        <f>IFNA(VLOOKUP(TRIM(E417),Master!D:M,4,0),"")</f>
        <v>SEKOP PLASTIK HITAM</v>
      </c>
      <c r="I417" s="4">
        <v>1.0</v>
      </c>
      <c r="J417" s="5">
        <f>IFNA(VLOOKUP(E417,Master!D:U,14,0),0)</f>
        <v>12000</v>
      </c>
      <c r="K417" s="5">
        <v>0.0</v>
      </c>
      <c r="L417" s="5">
        <f t="shared" si="3"/>
        <v>12000</v>
      </c>
      <c r="M417" s="5">
        <f>IFNA(VLOOKUP(TRIM(E417),Master!D:U,13,0),"")</f>
        <v>6000</v>
      </c>
      <c r="N417" s="5">
        <f t="shared" si="4"/>
        <v>6000</v>
      </c>
      <c r="O417" s="4" t="s">
        <v>19</v>
      </c>
      <c r="P417" s="5">
        <f t="shared" si="5"/>
        <v>50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3" t="s">
        <v>292</v>
      </c>
      <c r="B418" s="13" t="s">
        <v>298</v>
      </c>
      <c r="C418" s="14"/>
      <c r="D418" s="15">
        <v>1.0</v>
      </c>
      <c r="E418" s="1" t="s">
        <v>33</v>
      </c>
      <c r="F418" s="1" t="str">
        <f t="shared" si="1"/>
        <v>22/02/26PL3040</v>
      </c>
      <c r="G418" s="1" t="str">
        <f t="shared" si="2"/>
        <v>O22/02/26</v>
      </c>
      <c r="H418" s="1" t="str">
        <f>IFNA(VLOOKUP(TRIM(E418),Master!D:M,4,0),"")</f>
        <v>KAWAT BONSAI SILVER NO.1.5 ECERAN</v>
      </c>
      <c r="I418" s="16">
        <v>5.0</v>
      </c>
      <c r="J418" s="5">
        <f>IFNA(VLOOKUP(E418,Master!D:U,14,0),0)</f>
        <v>750</v>
      </c>
      <c r="K418" s="5">
        <v>0.0</v>
      </c>
      <c r="L418" s="5">
        <f t="shared" si="3"/>
        <v>3750</v>
      </c>
      <c r="M418" s="5">
        <f>IFNA(VLOOKUP(TRIM(E418),Master!D:U,13,0),"")</f>
        <v>444</v>
      </c>
      <c r="N418" s="5">
        <f t="shared" si="4"/>
        <v>1530</v>
      </c>
      <c r="O418" s="16" t="s">
        <v>28</v>
      </c>
      <c r="P418" s="5">
        <f t="shared" si="5"/>
        <v>40.8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3" t="s">
        <v>292</v>
      </c>
      <c r="B419" s="2"/>
      <c r="C419" s="14"/>
      <c r="D419" s="3"/>
      <c r="E419" s="17" t="s">
        <v>66</v>
      </c>
      <c r="F419" s="1" t="str">
        <f t="shared" si="1"/>
        <v>22/02/26PL3038</v>
      </c>
      <c r="G419" s="1" t="str">
        <f t="shared" si="2"/>
        <v>O22/02/26</v>
      </c>
      <c r="H419" s="1" t="str">
        <f>IFNA(VLOOKUP(TRIM(E419),Master!D:M,4,0),"")</f>
        <v>KAWAT BONSAI SILVER NO.1 ECERAN</v>
      </c>
      <c r="I419" s="16">
        <v>10.0</v>
      </c>
      <c r="J419" s="5">
        <f>IFNA(VLOOKUP(E419,Master!D:U,14,0),0)</f>
        <v>500</v>
      </c>
      <c r="K419" s="5">
        <v>0.0</v>
      </c>
      <c r="L419" s="5">
        <f t="shared" si="3"/>
        <v>5000</v>
      </c>
      <c r="M419" s="5">
        <f>IFNA(VLOOKUP(TRIM(E419),Master!D:U,13,0),"")</f>
        <v>267</v>
      </c>
      <c r="N419" s="5">
        <f t="shared" si="4"/>
        <v>2330</v>
      </c>
      <c r="O419" s="16" t="s">
        <v>28</v>
      </c>
      <c r="P419" s="5">
        <f t="shared" si="5"/>
        <v>46.6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3" t="s">
        <v>292</v>
      </c>
      <c r="B420" s="2"/>
      <c r="C420" s="14"/>
      <c r="D420" s="3"/>
      <c r="E420" s="17" t="s">
        <v>42</v>
      </c>
      <c r="F420" s="1" t="str">
        <f t="shared" si="1"/>
        <v>22/02/26PL3042</v>
      </c>
      <c r="G420" s="1" t="str">
        <f t="shared" si="2"/>
        <v>O22/02/26</v>
      </c>
      <c r="H420" s="1" t="str">
        <f>IFNA(VLOOKUP(TRIM(E420),Master!D:M,4,0),"")</f>
        <v>KAWAT BONSAI SILVER NO.2 ECERAN</v>
      </c>
      <c r="I420" s="16">
        <v>5.0</v>
      </c>
      <c r="J420" s="5">
        <f>IFNA(VLOOKUP(E420,Master!D:U,14,0),0)</f>
        <v>1500</v>
      </c>
      <c r="K420" s="5">
        <v>0.0</v>
      </c>
      <c r="L420" s="5">
        <f t="shared" si="3"/>
        <v>7500</v>
      </c>
      <c r="M420" s="5">
        <f>IFNA(VLOOKUP(TRIM(E420),Master!D:U,13,0),"")</f>
        <v>800</v>
      </c>
      <c r="N420" s="5">
        <f t="shared" si="4"/>
        <v>3500</v>
      </c>
      <c r="O420" s="16" t="s">
        <v>28</v>
      </c>
      <c r="P420" s="5">
        <f t="shared" si="5"/>
        <v>46.66666667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3" t="s">
        <v>292</v>
      </c>
      <c r="B421" s="2"/>
      <c r="C421" s="14"/>
      <c r="D421" s="3"/>
      <c r="E421" s="17" t="s">
        <v>43</v>
      </c>
      <c r="F421" s="1" t="str">
        <f t="shared" si="1"/>
        <v>22/02/26PL3044</v>
      </c>
      <c r="G421" s="1" t="str">
        <f t="shared" si="2"/>
        <v>O22/02/26</v>
      </c>
      <c r="H421" s="1" t="str">
        <f>IFNA(VLOOKUP(TRIM(E421),Master!D:M,4,0),"")</f>
        <v>KAWAT BONSAI SILVER NO.2.5 ECERAN</v>
      </c>
      <c r="I421" s="16">
        <v>3.0</v>
      </c>
      <c r="J421" s="5">
        <f>IFNA(VLOOKUP(E421,Master!D:U,14,0),0)</f>
        <v>2000</v>
      </c>
      <c r="K421" s="5">
        <v>0.0</v>
      </c>
      <c r="L421" s="5">
        <f t="shared" si="3"/>
        <v>6000</v>
      </c>
      <c r="M421" s="5">
        <f>IFNA(VLOOKUP(TRIM(E421),Master!D:U,13,0),"")</f>
        <v>1143</v>
      </c>
      <c r="N421" s="5">
        <f t="shared" si="4"/>
        <v>2571</v>
      </c>
      <c r="O421" s="16" t="s">
        <v>28</v>
      </c>
      <c r="P421" s="5">
        <f t="shared" si="5"/>
        <v>42.85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3" t="s">
        <v>292</v>
      </c>
      <c r="B422" s="13" t="s">
        <v>299</v>
      </c>
      <c r="C422" s="14"/>
      <c r="D422" s="15">
        <v>1.0</v>
      </c>
      <c r="E422" s="1" t="s">
        <v>25</v>
      </c>
      <c r="F422" s="1" t="str">
        <f t="shared" si="1"/>
        <v>22/02/26PK5041</v>
      </c>
      <c r="G422" s="1" t="str">
        <f t="shared" si="2"/>
        <v>C22/02/26</v>
      </c>
      <c r="H422" s="1" t="str">
        <f>IFNA(VLOOKUP(TRIM(E422),Master!D:M,4,0),"")</f>
        <v>PUPUK BOOSTER 76 250ML</v>
      </c>
      <c r="I422" s="4">
        <v>1.0</v>
      </c>
      <c r="J422" s="5">
        <f>IFNA(VLOOKUP(E422,Master!D:U,14,0),0)</f>
        <v>45000</v>
      </c>
      <c r="K422" s="5">
        <v>0.0</v>
      </c>
      <c r="L422" s="5">
        <f t="shared" si="3"/>
        <v>45000</v>
      </c>
      <c r="M422" s="5">
        <f>IFNA(VLOOKUP(TRIM(E422),Master!D:U,13,0),"")</f>
        <v>25000</v>
      </c>
      <c r="N422" s="5">
        <f t="shared" si="4"/>
        <v>20000</v>
      </c>
      <c r="O422" s="4" t="s">
        <v>19</v>
      </c>
      <c r="P422" s="5">
        <f t="shared" si="5"/>
        <v>44.44444444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3" t="s">
        <v>292</v>
      </c>
      <c r="B423" s="2"/>
      <c r="C423" s="14"/>
      <c r="D423" s="3"/>
      <c r="E423" s="1" t="s">
        <v>82</v>
      </c>
      <c r="F423" s="1" t="str">
        <f t="shared" si="1"/>
        <v>22/02/26PS4013</v>
      </c>
      <c r="G423" s="1" t="str">
        <f t="shared" si="2"/>
        <v>C22/02/26</v>
      </c>
      <c r="H423" s="1" t="str">
        <f>IFNA(VLOOKUP(TRIM(E423),Master!D:M,4,0),"")</f>
        <v>ALIKA 50ML</v>
      </c>
      <c r="I423" s="4">
        <v>1.0</v>
      </c>
      <c r="J423" s="5">
        <f>IFNA(VLOOKUP(E423,Master!D:U,14,0),0)</f>
        <v>42000</v>
      </c>
      <c r="K423" s="5">
        <v>0.0</v>
      </c>
      <c r="L423" s="5">
        <f t="shared" si="3"/>
        <v>42000</v>
      </c>
      <c r="M423" s="5">
        <f>IFNA(VLOOKUP(TRIM(E423),Master!D:U,13,0),"")</f>
        <v>36000</v>
      </c>
      <c r="N423" s="5">
        <f t="shared" si="4"/>
        <v>6000</v>
      </c>
      <c r="O423" s="4" t="s">
        <v>19</v>
      </c>
      <c r="P423" s="5">
        <f t="shared" si="5"/>
        <v>14.28571429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3" t="s">
        <v>292</v>
      </c>
      <c r="B424" s="13" t="s">
        <v>299</v>
      </c>
      <c r="C424" s="14"/>
      <c r="D424" s="15">
        <v>1.0</v>
      </c>
      <c r="E424" s="1" t="s">
        <v>121</v>
      </c>
      <c r="F424" s="1" t="str">
        <f t="shared" si="1"/>
        <v>22/02/26PS4008</v>
      </c>
      <c r="G424" s="1" t="str">
        <f t="shared" si="2"/>
        <v>C22/02/26</v>
      </c>
      <c r="H424" s="1" t="str">
        <f>IFNA(VLOOKUP(TRIM(E424),Master!D:M,4,0),"")</f>
        <v>ROUNDUP 1LITER</v>
      </c>
      <c r="I424" s="4">
        <v>1.0</v>
      </c>
      <c r="J424" s="5">
        <f>IFNA(VLOOKUP(E424,Master!D:U,14,0),0)</f>
        <v>110000</v>
      </c>
      <c r="K424" s="18">
        <v>-5000.0</v>
      </c>
      <c r="L424" s="5">
        <f t="shared" si="3"/>
        <v>115000</v>
      </c>
      <c r="M424" s="5">
        <f>IFNA(VLOOKUP(TRIM(E424),Master!D:U,13,0),"")</f>
        <v>75000</v>
      </c>
      <c r="N424" s="5">
        <f t="shared" si="4"/>
        <v>40000</v>
      </c>
      <c r="O424" s="16" t="s">
        <v>19</v>
      </c>
      <c r="P424" s="5">
        <f t="shared" si="5"/>
        <v>31.81818182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3" t="s">
        <v>292</v>
      </c>
      <c r="B425" s="2"/>
      <c r="C425" s="14"/>
      <c r="D425" s="3"/>
      <c r="E425" s="1" t="s">
        <v>54</v>
      </c>
      <c r="F425" s="1" t="str">
        <f t="shared" si="1"/>
        <v>22/02/26PL3090</v>
      </c>
      <c r="G425" s="1" t="str">
        <f t="shared" si="2"/>
        <v>C22/02/26</v>
      </c>
      <c r="H425" s="1" t="str">
        <f>IFNA(VLOOKUP(TRIM(E425),Master!D:M,4,0),"")</f>
        <v>SPRAYER 2LITER</v>
      </c>
      <c r="I425" s="4">
        <v>1.0</v>
      </c>
      <c r="J425" s="5">
        <f>IFNA(VLOOKUP(E425,Master!D:U,14,0),0)</f>
        <v>43000</v>
      </c>
      <c r="K425" s="5">
        <v>0.0</v>
      </c>
      <c r="L425" s="5">
        <f t="shared" si="3"/>
        <v>43000</v>
      </c>
      <c r="M425" s="5">
        <f>IFNA(VLOOKUP(TRIM(E425),Master!D:U,13,0),"")</f>
        <v>33000</v>
      </c>
      <c r="N425" s="5">
        <f t="shared" si="4"/>
        <v>10000</v>
      </c>
      <c r="O425" s="16" t="s">
        <v>19</v>
      </c>
      <c r="P425" s="5">
        <f t="shared" si="5"/>
        <v>23.25581395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3" t="s">
        <v>300</v>
      </c>
      <c r="B426" s="13" t="s">
        <v>301</v>
      </c>
      <c r="C426" s="14"/>
      <c r="D426" s="15">
        <v>1.0</v>
      </c>
      <c r="E426" s="1" t="s">
        <v>94</v>
      </c>
      <c r="F426" s="1" t="str">
        <f t="shared" si="1"/>
        <v>23/02/26MT2039</v>
      </c>
      <c r="G426" s="1" t="str">
        <f t="shared" si="2"/>
        <v>O23/02/26</v>
      </c>
      <c r="H426" s="1" t="str">
        <f>IFNA(VLOOKUP(TRIM(E426),Master!D:M,4,0),"")</f>
        <v>SEKAM BAKAR 10KG</v>
      </c>
      <c r="I426" s="4">
        <v>1.0</v>
      </c>
      <c r="J426" s="5">
        <f>IFNA(VLOOKUP(E426,Master!D:U,14,0),0)</f>
        <v>12000</v>
      </c>
      <c r="K426" s="5">
        <v>0.0</v>
      </c>
      <c r="L426" s="5">
        <f t="shared" si="3"/>
        <v>12000</v>
      </c>
      <c r="M426" s="5">
        <f>IFNA(VLOOKUP(TRIM(E426),Master!D:U,13,0),"")</f>
        <v>6000</v>
      </c>
      <c r="N426" s="5">
        <f t="shared" si="4"/>
        <v>6000</v>
      </c>
      <c r="O426" s="16" t="s">
        <v>28</v>
      </c>
      <c r="P426" s="5">
        <f t="shared" si="5"/>
        <v>50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3" t="s">
        <v>300</v>
      </c>
      <c r="B427" s="13" t="s">
        <v>302</v>
      </c>
      <c r="C427" s="14"/>
      <c r="D427" s="15">
        <v>1.0</v>
      </c>
      <c r="E427" s="1" t="s">
        <v>34</v>
      </c>
      <c r="F427" s="1" t="str">
        <f t="shared" si="1"/>
        <v>23/02/26MT2053</v>
      </c>
      <c r="G427" s="1" t="str">
        <f t="shared" si="2"/>
        <v>C23/02/26</v>
      </c>
      <c r="H427" s="1" t="str">
        <f>IFNA(VLOOKUP(TRIM(E427),Master!D:M,4,0),"")</f>
        <v>TANAH SUBUR 25KG BINTANG TANI</v>
      </c>
      <c r="I427" s="16">
        <v>2.0</v>
      </c>
      <c r="J427" s="5">
        <f>IFNA(VLOOKUP(E427,Master!D:U,14,0),0)</f>
        <v>25000</v>
      </c>
      <c r="K427" s="5">
        <v>0.0</v>
      </c>
      <c r="L427" s="5">
        <f t="shared" si="3"/>
        <v>50000</v>
      </c>
      <c r="M427" s="5">
        <f>IFNA(VLOOKUP(TRIM(E427),Master!D:U,13,0),"")</f>
        <v>15000</v>
      </c>
      <c r="N427" s="5">
        <f t="shared" si="4"/>
        <v>20000</v>
      </c>
      <c r="O427" s="4" t="s">
        <v>19</v>
      </c>
      <c r="P427" s="5">
        <f t="shared" si="5"/>
        <v>40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3" t="s">
        <v>300</v>
      </c>
      <c r="B428" s="13" t="s">
        <v>302</v>
      </c>
      <c r="C428" s="14"/>
      <c r="D428" s="15">
        <v>1.0</v>
      </c>
      <c r="E428" s="1" t="s">
        <v>234</v>
      </c>
      <c r="F428" s="1" t="str">
        <f t="shared" si="1"/>
        <v>23/02/26PL3070</v>
      </c>
      <c r="G428" s="1" t="str">
        <f t="shared" si="2"/>
        <v>C23/02/26</v>
      </c>
      <c r="H428" s="1" t="str">
        <f>IFNA(VLOOKUP(TRIM(E428),Master!D:M,4,0),"")</f>
        <v>DC 33X33</v>
      </c>
      <c r="I428" s="16">
        <v>3.0</v>
      </c>
      <c r="J428" s="5">
        <f>IFNA(VLOOKUP(E428,Master!D:U,14,0),0)</f>
        <v>17000</v>
      </c>
      <c r="K428" s="18">
        <v>1000.0</v>
      </c>
      <c r="L428" s="5">
        <f t="shared" si="3"/>
        <v>50000</v>
      </c>
      <c r="M428" s="5">
        <f>IFNA(VLOOKUP(TRIM(E428),Master!D:U,13,0),"")</f>
        <v>13000</v>
      </c>
      <c r="N428" s="5">
        <f t="shared" si="4"/>
        <v>11000</v>
      </c>
      <c r="O428" s="4" t="s">
        <v>19</v>
      </c>
      <c r="P428" s="5">
        <f t="shared" si="5"/>
        <v>23.52941176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3" t="s">
        <v>300</v>
      </c>
      <c r="B429" s="13" t="s">
        <v>302</v>
      </c>
      <c r="C429" s="14"/>
      <c r="D429" s="15">
        <v>1.0</v>
      </c>
      <c r="E429" s="1" t="s">
        <v>115</v>
      </c>
      <c r="F429" s="1" t="str">
        <f t="shared" si="1"/>
        <v>23/02/26MT2022</v>
      </c>
      <c r="G429" s="1" t="str">
        <f t="shared" si="2"/>
        <v>C23/02/26</v>
      </c>
      <c r="H429" s="1" t="str">
        <f>IFNA(VLOOKUP(TRIM(E429),Master!D:M,4,0),"")</f>
        <v>PASIR MALANG 10KG</v>
      </c>
      <c r="I429" s="4">
        <v>1.0</v>
      </c>
      <c r="J429" s="5">
        <f>IFNA(VLOOKUP(E429,Master!D:U,14,0),0)</f>
        <v>15000</v>
      </c>
      <c r="K429" s="5">
        <v>0.0</v>
      </c>
      <c r="L429" s="5">
        <f t="shared" si="3"/>
        <v>15000</v>
      </c>
      <c r="M429" s="5">
        <f>IFNA(VLOOKUP(TRIM(E429),Master!D:U,13,0),"")</f>
        <v>8000</v>
      </c>
      <c r="N429" s="5">
        <f t="shared" si="4"/>
        <v>7000</v>
      </c>
      <c r="O429" s="4" t="s">
        <v>19</v>
      </c>
      <c r="P429" s="5">
        <f t="shared" si="5"/>
        <v>46.66666667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3" t="s">
        <v>300</v>
      </c>
      <c r="B430" s="2"/>
      <c r="C430" s="14"/>
      <c r="D430" s="3"/>
      <c r="E430" s="1" t="s">
        <v>303</v>
      </c>
      <c r="F430" s="1" t="str">
        <f t="shared" si="1"/>
        <v>23/02/26MT2026</v>
      </c>
      <c r="G430" s="1" t="str">
        <f t="shared" si="2"/>
        <v>C23/02/26</v>
      </c>
      <c r="H430" s="1" t="str">
        <f>IFNA(VLOOKUP(TRIM(E430),Master!D:M,4,0),"")</f>
        <v>PASIR MALANG KASAR 10KG</v>
      </c>
      <c r="I430" s="4">
        <v>1.0</v>
      </c>
      <c r="J430" s="5">
        <f>IFNA(VLOOKUP(E430,Master!D:U,14,0),0)</f>
        <v>15000</v>
      </c>
      <c r="K430" s="5">
        <v>0.0</v>
      </c>
      <c r="L430" s="5">
        <f t="shared" si="3"/>
        <v>15000</v>
      </c>
      <c r="M430" s="5">
        <f>IFNA(VLOOKUP(TRIM(E430),Master!D:U,13,0),"")</f>
        <v>8000</v>
      </c>
      <c r="N430" s="5">
        <f t="shared" si="4"/>
        <v>7000</v>
      </c>
      <c r="O430" s="4" t="s">
        <v>19</v>
      </c>
      <c r="P430" s="5">
        <f t="shared" si="5"/>
        <v>46.66666667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3" t="s">
        <v>300</v>
      </c>
      <c r="B431" s="13" t="s">
        <v>304</v>
      </c>
      <c r="C431" s="14"/>
      <c r="D431" s="15">
        <v>1.0</v>
      </c>
      <c r="E431" s="1" t="s">
        <v>33</v>
      </c>
      <c r="F431" s="1" t="str">
        <f t="shared" si="1"/>
        <v>23/02/26PL3040</v>
      </c>
      <c r="G431" s="1" t="str">
        <f t="shared" si="2"/>
        <v>O23/02/26</v>
      </c>
      <c r="H431" s="1" t="str">
        <f>IFNA(VLOOKUP(TRIM(E431),Master!D:M,4,0),"")</f>
        <v>KAWAT BONSAI SILVER NO.1.5 ECERAN</v>
      </c>
      <c r="I431" s="16">
        <v>24.0</v>
      </c>
      <c r="J431" s="5">
        <f>IFNA(VLOOKUP(E431,Master!D:U,14,0),0)</f>
        <v>750</v>
      </c>
      <c r="K431" s="5">
        <v>0.0</v>
      </c>
      <c r="L431" s="5">
        <f t="shared" si="3"/>
        <v>18000</v>
      </c>
      <c r="M431" s="5">
        <f>IFNA(VLOOKUP(TRIM(E431),Master!D:U,13,0),"")</f>
        <v>444</v>
      </c>
      <c r="N431" s="5">
        <f t="shared" si="4"/>
        <v>7344</v>
      </c>
      <c r="O431" s="16" t="s">
        <v>28</v>
      </c>
      <c r="P431" s="5">
        <f t="shared" si="5"/>
        <v>40.8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3" t="s">
        <v>300</v>
      </c>
      <c r="B432" s="2"/>
      <c r="C432" s="14"/>
      <c r="D432" s="3"/>
      <c r="E432" s="1" t="s">
        <v>22</v>
      </c>
      <c r="F432" s="1" t="str">
        <f t="shared" si="1"/>
        <v>23/02/26MT2037</v>
      </c>
      <c r="G432" s="1" t="str">
        <f t="shared" si="2"/>
        <v>O23/02/26</v>
      </c>
      <c r="H432" s="1" t="str">
        <f>IFNA(VLOOKUP(TRIM(E432),Master!D:M,4,0),"")</f>
        <v>PUPUK KOMPOS 5KG</v>
      </c>
      <c r="I432" s="4">
        <v>1.0</v>
      </c>
      <c r="J432" s="5">
        <f>IFNA(VLOOKUP(E432,Master!D:U,14,0),0)</f>
        <v>10000</v>
      </c>
      <c r="K432" s="5">
        <v>0.0</v>
      </c>
      <c r="L432" s="5">
        <f t="shared" si="3"/>
        <v>10000</v>
      </c>
      <c r="M432" s="5">
        <f>IFNA(VLOOKUP(TRIM(E432),Master!D:U,13,0),"")</f>
        <v>5000</v>
      </c>
      <c r="N432" s="5">
        <f t="shared" si="4"/>
        <v>5000</v>
      </c>
      <c r="O432" s="16" t="s">
        <v>28</v>
      </c>
      <c r="P432" s="5">
        <f t="shared" si="5"/>
        <v>50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3" t="s">
        <v>300</v>
      </c>
      <c r="B433" s="2"/>
      <c r="C433" s="14"/>
      <c r="D433" s="3"/>
      <c r="E433" s="1" t="s">
        <v>33</v>
      </c>
      <c r="F433" s="1" t="str">
        <f t="shared" si="1"/>
        <v>23/02/26PL3040</v>
      </c>
      <c r="G433" s="1" t="str">
        <f t="shared" si="2"/>
        <v>O23/02/26</v>
      </c>
      <c r="H433" s="1" t="str">
        <f>IFNA(VLOOKUP(TRIM(E433),Master!D:M,4,0),"")</f>
        <v>KAWAT BONSAI SILVER NO.1.5 ECERAN</v>
      </c>
      <c r="I433" s="16">
        <v>5.0</v>
      </c>
      <c r="J433" s="5">
        <f>IFNA(VLOOKUP(E433,Master!D:U,14,0),0)</f>
        <v>750</v>
      </c>
      <c r="K433" s="5">
        <v>0.0</v>
      </c>
      <c r="L433" s="5">
        <f t="shared" si="3"/>
        <v>3750</v>
      </c>
      <c r="M433" s="5">
        <f>IFNA(VLOOKUP(TRIM(E433),Master!D:U,13,0),"")</f>
        <v>444</v>
      </c>
      <c r="N433" s="5">
        <f t="shared" si="4"/>
        <v>1530</v>
      </c>
      <c r="O433" s="16" t="s">
        <v>28</v>
      </c>
      <c r="P433" s="5">
        <f t="shared" si="5"/>
        <v>40.8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3" t="s">
        <v>300</v>
      </c>
      <c r="B434" s="13" t="s">
        <v>305</v>
      </c>
      <c r="C434" s="14"/>
      <c r="D434" s="15">
        <v>1.0</v>
      </c>
      <c r="E434" s="1" t="s">
        <v>210</v>
      </c>
      <c r="F434" s="1" t="str">
        <f t="shared" si="1"/>
        <v>23/02/26PL3094</v>
      </c>
      <c r="G434" s="1" t="str">
        <f t="shared" si="2"/>
        <v>C23/02/26</v>
      </c>
      <c r="H434" s="1" t="str">
        <f>IFNA(VLOOKUP(TRIM(E434),Master!D:M,4,0),"")</f>
        <v>TRAI 32</v>
      </c>
      <c r="I434" s="4">
        <v>1.0</v>
      </c>
      <c r="J434" s="5">
        <f>IFNA(VLOOKUP(E434,Master!D:U,14,0),0)</f>
        <v>15000</v>
      </c>
      <c r="K434" s="5">
        <v>0.0</v>
      </c>
      <c r="L434" s="5">
        <f t="shared" si="3"/>
        <v>15000</v>
      </c>
      <c r="M434" s="5">
        <f>IFNA(VLOOKUP(TRIM(E434),Master!D:U,13,0),"")</f>
        <v>12000</v>
      </c>
      <c r="N434" s="5">
        <f t="shared" si="4"/>
        <v>3000</v>
      </c>
      <c r="O434" s="4" t="s">
        <v>19</v>
      </c>
      <c r="P434" s="5">
        <f t="shared" si="5"/>
        <v>20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3" t="s">
        <v>300</v>
      </c>
      <c r="B435" s="13" t="s">
        <v>306</v>
      </c>
      <c r="C435" s="14"/>
      <c r="D435" s="15">
        <v>1.0</v>
      </c>
      <c r="E435" s="20" t="s">
        <v>37</v>
      </c>
      <c r="F435" s="1" t="str">
        <f t="shared" si="1"/>
        <v>23/02/26MT2050</v>
      </c>
      <c r="G435" s="1" t="str">
        <f t="shared" si="2"/>
        <v>C23/02/26</v>
      </c>
      <c r="H435" s="1" t="str">
        <f>IFNA(VLOOKUP(TRIM(E435),Master!D:M,4,0),"")</f>
        <v>TANAH SUBUR 10KG BINTANG TANI</v>
      </c>
      <c r="I435" s="16">
        <v>2.0</v>
      </c>
      <c r="J435" s="5">
        <f>IFNA(VLOOKUP(E435,Master!D:U,14,0),0)</f>
        <v>10000</v>
      </c>
      <c r="K435" s="5">
        <v>0.0</v>
      </c>
      <c r="L435" s="5">
        <f t="shared" si="3"/>
        <v>20000</v>
      </c>
      <c r="M435" s="5">
        <f>IFNA(VLOOKUP(TRIM(E435),Master!D:U,13,0),"")</f>
        <v>6000</v>
      </c>
      <c r="N435" s="5">
        <f t="shared" si="4"/>
        <v>8000</v>
      </c>
      <c r="O435" s="4" t="s">
        <v>19</v>
      </c>
      <c r="P435" s="5">
        <f t="shared" si="5"/>
        <v>40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3" t="s">
        <v>300</v>
      </c>
      <c r="B436" s="2"/>
      <c r="C436" s="14"/>
      <c r="D436" s="3"/>
      <c r="E436" s="17" t="s">
        <v>97</v>
      </c>
      <c r="F436" s="1" t="str">
        <f t="shared" si="1"/>
        <v>23/02/26PL3164</v>
      </c>
      <c r="G436" s="1" t="str">
        <f t="shared" si="2"/>
        <v>C23/02/26</v>
      </c>
      <c r="H436" s="1" t="str">
        <f>IFNA(VLOOKUP(TRIM(E436),Master!D:M,4,0),"")</f>
        <v>POT GMP HITAM 35 POLOS</v>
      </c>
      <c r="I436" s="16">
        <v>2.0</v>
      </c>
      <c r="J436" s="5">
        <f>IFNA(VLOOKUP(E436,Master!D:U,14,0),0)</f>
        <v>14000</v>
      </c>
      <c r="K436" s="5">
        <v>0.0</v>
      </c>
      <c r="L436" s="5">
        <f t="shared" si="3"/>
        <v>28000</v>
      </c>
      <c r="M436" s="5">
        <f>IFNA(VLOOKUP(TRIM(E436),Master!D:U,13,0),"")</f>
        <v>10250</v>
      </c>
      <c r="N436" s="5">
        <f t="shared" si="4"/>
        <v>7500</v>
      </c>
      <c r="O436" s="4" t="s">
        <v>19</v>
      </c>
      <c r="P436" s="5">
        <f t="shared" si="5"/>
        <v>26.78571429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3" t="s">
        <v>300</v>
      </c>
      <c r="B437" s="2"/>
      <c r="C437" s="14"/>
      <c r="D437" s="3"/>
      <c r="E437" s="1" t="s">
        <v>248</v>
      </c>
      <c r="F437" s="1" t="str">
        <f t="shared" si="1"/>
        <v>23/02/26PK5032</v>
      </c>
      <c r="G437" s="1" t="str">
        <f t="shared" si="2"/>
        <v>C23/02/26</v>
      </c>
      <c r="H437" s="1" t="str">
        <f>IFNA(VLOOKUP(TRIM(E437),Master!D:M,4,0),"")</f>
        <v>PERANGSANG AKAR INFARM 100ML</v>
      </c>
      <c r="I437" s="4">
        <v>1.0</v>
      </c>
      <c r="J437" s="5">
        <f>IFNA(VLOOKUP(E437,Master!D:U,14,0),0)</f>
        <v>35000</v>
      </c>
      <c r="K437" s="5">
        <v>0.0</v>
      </c>
      <c r="L437" s="5">
        <f t="shared" si="3"/>
        <v>35000</v>
      </c>
      <c r="M437" s="5" t="str">
        <f>IFNA(VLOOKUP(TRIM(E437),Master!D:U,13,0),"")</f>
        <v/>
      </c>
      <c r="N437" s="5">
        <f t="shared" si="4"/>
        <v>35000</v>
      </c>
      <c r="O437" s="4" t="s">
        <v>19</v>
      </c>
      <c r="P437" s="5">
        <f t="shared" si="5"/>
        <v>100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3" t="s">
        <v>300</v>
      </c>
      <c r="B438" s="2"/>
      <c r="C438" s="14"/>
      <c r="D438" s="3"/>
      <c r="E438" s="1" t="s">
        <v>307</v>
      </c>
      <c r="F438" s="1" t="str">
        <f t="shared" si="1"/>
        <v>23/02/26PL3086</v>
      </c>
      <c r="G438" s="1" t="str">
        <f t="shared" si="2"/>
        <v>C23/02/26</v>
      </c>
      <c r="H438" s="1" t="str">
        <f>IFNA(VLOOKUP(TRIM(E438),Master!D:M,4,0),"")</f>
        <v>SEKOP BESI KECIL HIJAU</v>
      </c>
      <c r="I438" s="4">
        <v>1.0</v>
      </c>
      <c r="J438" s="5">
        <f>IFNA(VLOOKUP(E438,Master!D:U,14,0),0)</f>
        <v>15000</v>
      </c>
      <c r="K438" s="18">
        <v>-2000.0</v>
      </c>
      <c r="L438" s="5">
        <f t="shared" si="3"/>
        <v>17000</v>
      </c>
      <c r="M438" s="5">
        <f>IFNA(VLOOKUP(TRIM(E438),Master!D:U,13,0),"")</f>
        <v>12500</v>
      </c>
      <c r="N438" s="5">
        <f t="shared" si="4"/>
        <v>4500</v>
      </c>
      <c r="O438" s="4" t="s">
        <v>19</v>
      </c>
      <c r="P438" s="5">
        <f t="shared" si="5"/>
        <v>16.66666667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3" t="s">
        <v>300</v>
      </c>
      <c r="B439" s="13" t="s">
        <v>306</v>
      </c>
      <c r="C439" s="14"/>
      <c r="D439" s="15">
        <v>1.0</v>
      </c>
      <c r="E439" s="20" t="s">
        <v>286</v>
      </c>
      <c r="F439" s="1" t="str">
        <f t="shared" si="1"/>
        <v>23/02/26PL3101</v>
      </c>
      <c r="G439" s="1" t="str">
        <f t="shared" si="2"/>
        <v>C23/02/26</v>
      </c>
      <c r="H439" s="1" t="str">
        <f>IFNA(VLOOKUP(TRIM(E439),Master!D:M,4,0),"")</f>
        <v>PLANTER BAG 28L</v>
      </c>
      <c r="I439" s="4">
        <v>1.0</v>
      </c>
      <c r="J439" s="5">
        <f>IFNA(VLOOKUP(E439,Master!D:U,14,0),0)</f>
        <v>15000</v>
      </c>
      <c r="K439" s="5">
        <v>0.0</v>
      </c>
      <c r="L439" s="5">
        <f t="shared" si="3"/>
        <v>15000</v>
      </c>
      <c r="M439" s="5">
        <f>IFNA(VLOOKUP(TRIM(E439),Master!D:U,13,0),"")</f>
        <v>12000</v>
      </c>
      <c r="N439" s="5">
        <f t="shared" si="4"/>
        <v>3000</v>
      </c>
      <c r="O439" s="4" t="s">
        <v>19</v>
      </c>
      <c r="P439" s="5">
        <f t="shared" si="5"/>
        <v>20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3" t="s">
        <v>300</v>
      </c>
      <c r="B440" s="2"/>
      <c r="C440" s="14"/>
      <c r="D440" s="3"/>
      <c r="E440" s="20" t="s">
        <v>308</v>
      </c>
      <c r="F440" s="1" t="str">
        <f t="shared" si="1"/>
        <v>23/02/26PL3103</v>
      </c>
      <c r="G440" s="1" t="str">
        <f t="shared" si="2"/>
        <v>C23/02/26</v>
      </c>
      <c r="H440" s="1" t="str">
        <f>IFNA(VLOOKUP(TRIM(E440),Master!D:M,4,0),"")</f>
        <v>PLANTER BAG 50L</v>
      </c>
      <c r="I440" s="4">
        <v>1.0</v>
      </c>
      <c r="J440" s="5">
        <f>IFNA(VLOOKUP(E440,Master!D:U,14,0),0)</f>
        <v>19000</v>
      </c>
      <c r="K440" s="5">
        <v>0.0</v>
      </c>
      <c r="L440" s="5">
        <f t="shared" si="3"/>
        <v>19000</v>
      </c>
      <c r="M440" s="5">
        <f>IFNA(VLOOKUP(TRIM(E440),Master!D:U,13,0),"")</f>
        <v>15000</v>
      </c>
      <c r="N440" s="5">
        <f t="shared" si="4"/>
        <v>4000</v>
      </c>
      <c r="O440" s="4" t="s">
        <v>19</v>
      </c>
      <c r="P440" s="5">
        <f t="shared" si="5"/>
        <v>21.05263158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3" t="s">
        <v>300</v>
      </c>
      <c r="B441" s="13" t="s">
        <v>285</v>
      </c>
      <c r="C441" s="14"/>
      <c r="D441" s="15">
        <v>1.0</v>
      </c>
      <c r="E441" s="20" t="s">
        <v>286</v>
      </c>
      <c r="F441" s="1" t="str">
        <f t="shared" si="1"/>
        <v>23/02/26PL3101</v>
      </c>
      <c r="G441" s="1" t="str">
        <f t="shared" si="2"/>
        <v>C23/02/26</v>
      </c>
      <c r="H441" s="1" t="str">
        <f>IFNA(VLOOKUP(TRIM(E441),Master!D:M,4,0),"")</f>
        <v>PLANTER BAG 28L</v>
      </c>
      <c r="I441" s="4">
        <v>1.0</v>
      </c>
      <c r="J441" s="5">
        <f>IFNA(VLOOKUP(E441,Master!D:U,14,0),0)</f>
        <v>15000</v>
      </c>
      <c r="K441" s="5">
        <v>0.0</v>
      </c>
      <c r="L441" s="5">
        <f t="shared" si="3"/>
        <v>15000</v>
      </c>
      <c r="M441" s="5">
        <f>IFNA(VLOOKUP(TRIM(E441),Master!D:U,13,0),"")</f>
        <v>12000</v>
      </c>
      <c r="N441" s="5">
        <f t="shared" si="4"/>
        <v>3000</v>
      </c>
      <c r="O441" s="4" t="s">
        <v>19</v>
      </c>
      <c r="P441" s="5">
        <f t="shared" si="5"/>
        <v>20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3" t="s">
        <v>300</v>
      </c>
      <c r="B442" s="2"/>
      <c r="C442" s="14"/>
      <c r="D442" s="3"/>
      <c r="E442" s="20" t="s">
        <v>37</v>
      </c>
      <c r="F442" s="1" t="str">
        <f t="shared" si="1"/>
        <v>23/02/26MT2050</v>
      </c>
      <c r="G442" s="1" t="str">
        <f t="shared" si="2"/>
        <v>C23/02/26</v>
      </c>
      <c r="H442" s="1" t="str">
        <f>IFNA(VLOOKUP(TRIM(E442),Master!D:M,4,0),"")</f>
        <v>TANAH SUBUR 10KG BINTANG TANI</v>
      </c>
      <c r="I442" s="4">
        <v>1.0</v>
      </c>
      <c r="J442" s="5">
        <f>IFNA(VLOOKUP(E442,Master!D:U,14,0),0)</f>
        <v>10000</v>
      </c>
      <c r="K442" s="5">
        <v>0.0</v>
      </c>
      <c r="L442" s="5">
        <f t="shared" si="3"/>
        <v>10000</v>
      </c>
      <c r="M442" s="5">
        <f>IFNA(VLOOKUP(TRIM(E442),Master!D:U,13,0),"")</f>
        <v>6000</v>
      </c>
      <c r="N442" s="5">
        <f t="shared" si="4"/>
        <v>4000</v>
      </c>
      <c r="O442" s="4" t="s">
        <v>19</v>
      </c>
      <c r="P442" s="5">
        <f t="shared" si="5"/>
        <v>40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3" t="s">
        <v>300</v>
      </c>
      <c r="B443" s="2"/>
      <c r="C443" s="14"/>
      <c r="D443" s="3"/>
      <c r="E443" s="1" t="s">
        <v>34</v>
      </c>
      <c r="F443" s="1" t="str">
        <f t="shared" si="1"/>
        <v>23/02/26MT2053</v>
      </c>
      <c r="G443" s="1" t="str">
        <f t="shared" si="2"/>
        <v>C23/02/26</v>
      </c>
      <c r="H443" s="1" t="str">
        <f>IFNA(VLOOKUP(TRIM(E443),Master!D:M,4,0),"")</f>
        <v>TANAH SUBUR 25KG BINTANG TANI</v>
      </c>
      <c r="I443" s="4">
        <v>1.0</v>
      </c>
      <c r="J443" s="5">
        <f>IFNA(VLOOKUP(E443,Master!D:U,14,0),0)</f>
        <v>25000</v>
      </c>
      <c r="K443" s="5">
        <v>0.0</v>
      </c>
      <c r="L443" s="5">
        <f t="shared" si="3"/>
        <v>25000</v>
      </c>
      <c r="M443" s="5">
        <f>IFNA(VLOOKUP(TRIM(E443),Master!D:U,13,0),"")</f>
        <v>15000</v>
      </c>
      <c r="N443" s="5">
        <f t="shared" si="4"/>
        <v>10000</v>
      </c>
      <c r="O443" s="4" t="s">
        <v>19</v>
      </c>
      <c r="P443" s="5">
        <f t="shared" si="5"/>
        <v>40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3" t="s">
        <v>300</v>
      </c>
      <c r="B444" s="13" t="s">
        <v>309</v>
      </c>
      <c r="C444" s="14"/>
      <c r="D444" s="15">
        <v>1.0</v>
      </c>
      <c r="E444" s="1" t="s">
        <v>212</v>
      </c>
      <c r="F444" s="1" t="str">
        <f t="shared" si="1"/>
        <v>23/02/26PL3045</v>
      </c>
      <c r="G444" s="1" t="str">
        <f t="shared" si="2"/>
        <v>C23/02/26</v>
      </c>
      <c r="H444" s="1" t="str">
        <f>IFNA(VLOOKUP(TRIM(E444),Master!D:M,4,0),"")</f>
        <v>KAWAT BONSAI SILVER NO.3</v>
      </c>
      <c r="I444" s="4">
        <v>1.0</v>
      </c>
      <c r="J444" s="18">
        <v>105000.0</v>
      </c>
      <c r="K444" s="5">
        <v>0.0</v>
      </c>
      <c r="L444" s="5">
        <f t="shared" si="3"/>
        <v>105000</v>
      </c>
      <c r="M444" s="18">
        <v>102500.0</v>
      </c>
      <c r="N444" s="5">
        <f t="shared" si="4"/>
        <v>2500</v>
      </c>
      <c r="O444" s="4" t="s">
        <v>19</v>
      </c>
      <c r="P444" s="5">
        <f t="shared" si="5"/>
        <v>2.380952381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3" t="s">
        <v>310</v>
      </c>
      <c r="B445" s="13" t="s">
        <v>311</v>
      </c>
      <c r="C445" s="14"/>
      <c r="D445" s="15">
        <v>1.0</v>
      </c>
      <c r="E445" s="1" t="s">
        <v>312</v>
      </c>
      <c r="F445" s="1" t="str">
        <f t="shared" si="1"/>
        <v>24/02/26MT2033</v>
      </c>
      <c r="G445" s="1" t="str">
        <f t="shared" si="2"/>
        <v>I24/02/26</v>
      </c>
      <c r="H445" s="1" t="str">
        <f>IFNA(VLOOKUP(TRIM(E445),Master!D:M,4,0),"")</f>
        <v>PUMICE 5-7M SEDANG /KG</v>
      </c>
      <c r="I445" s="16">
        <v>3.0</v>
      </c>
      <c r="J445" s="5">
        <f>IFNA(VLOOKUP(E445,Master!D:U,14,0),0)</f>
        <v>7500</v>
      </c>
      <c r="K445" s="5">
        <v>0.0</v>
      </c>
      <c r="L445" s="5">
        <f t="shared" si="3"/>
        <v>22500</v>
      </c>
      <c r="M445" s="5">
        <f>IFNA(VLOOKUP(TRIM(E445),Master!D:U,13,0),"")</f>
        <v>3250</v>
      </c>
      <c r="N445" s="5">
        <f t="shared" si="4"/>
        <v>12750</v>
      </c>
      <c r="O445" s="16" t="s">
        <v>23</v>
      </c>
      <c r="P445" s="5">
        <f t="shared" si="5"/>
        <v>56.66666667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3" t="s">
        <v>310</v>
      </c>
      <c r="B446" s="2"/>
      <c r="C446" s="14"/>
      <c r="D446" s="3"/>
      <c r="E446" s="1" t="s">
        <v>59</v>
      </c>
      <c r="F446" s="1" t="str">
        <f t="shared" si="1"/>
        <v>24/02/26PK5068</v>
      </c>
      <c r="G446" s="1" t="str">
        <f t="shared" si="2"/>
        <v>O24/02/26</v>
      </c>
      <c r="H446" s="1" t="str">
        <f>IFNA(VLOOKUP(TRIM(E446),Master!D:M,4,0),"")</f>
        <v>PUPUK ZA 1KG</v>
      </c>
      <c r="I446" s="16">
        <v>5.0</v>
      </c>
      <c r="J446" s="5">
        <f>IFNA(VLOOKUP(E446,Master!D:U,14,0),0)</f>
        <v>9000</v>
      </c>
      <c r="K446" s="5">
        <v>0.0</v>
      </c>
      <c r="L446" s="5">
        <f t="shared" si="3"/>
        <v>45000</v>
      </c>
      <c r="M446" s="5">
        <f>IFNA(VLOOKUP(TRIM(E446),Master!D:U,13,0),"")</f>
        <v>6000</v>
      </c>
      <c r="N446" s="5">
        <f t="shared" si="4"/>
        <v>15000</v>
      </c>
      <c r="O446" s="16" t="s">
        <v>28</v>
      </c>
      <c r="P446" s="5">
        <f t="shared" si="5"/>
        <v>33.33333333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3" t="s">
        <v>310</v>
      </c>
      <c r="B447" s="2"/>
      <c r="C447" s="14"/>
      <c r="D447" s="3"/>
      <c r="E447" s="1" t="s">
        <v>33</v>
      </c>
      <c r="F447" s="1" t="str">
        <f t="shared" si="1"/>
        <v>24/02/26PL3040</v>
      </c>
      <c r="G447" s="1" t="str">
        <f t="shared" si="2"/>
        <v>O24/02/26</v>
      </c>
      <c r="H447" s="1" t="str">
        <f>IFNA(VLOOKUP(TRIM(E447),Master!D:M,4,0),"")</f>
        <v>KAWAT BONSAI SILVER NO.1.5 ECERAN</v>
      </c>
      <c r="I447" s="16">
        <v>6.0</v>
      </c>
      <c r="J447" s="5">
        <f>IFNA(VLOOKUP(E447,Master!D:U,14,0),0)</f>
        <v>750</v>
      </c>
      <c r="K447" s="5">
        <v>0.0</v>
      </c>
      <c r="L447" s="5">
        <f t="shared" si="3"/>
        <v>4500</v>
      </c>
      <c r="M447" s="5">
        <f>IFNA(VLOOKUP(TRIM(E447),Master!D:U,13,0),"")</f>
        <v>444</v>
      </c>
      <c r="N447" s="5">
        <f t="shared" si="4"/>
        <v>1836</v>
      </c>
      <c r="O447" s="16" t="s">
        <v>28</v>
      </c>
      <c r="P447" s="5">
        <f t="shared" si="5"/>
        <v>40.8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3" t="s">
        <v>310</v>
      </c>
      <c r="B448" s="2"/>
      <c r="C448" s="14"/>
      <c r="D448" s="3"/>
      <c r="E448" s="1" t="s">
        <v>167</v>
      </c>
      <c r="F448" s="1" t="str">
        <f t="shared" si="1"/>
        <v>24/02/26PS4019</v>
      </c>
      <c r="G448" s="1" t="str">
        <f t="shared" si="2"/>
        <v>O24/02/26</v>
      </c>
      <c r="H448" s="1" t="str">
        <f>IFNA(VLOOKUP(TRIM(E448),Master!D:M,4,0),"")</f>
        <v>FURADAN RPK 100GR</v>
      </c>
      <c r="I448" s="4">
        <v>1.0</v>
      </c>
      <c r="J448" s="5">
        <f>IFNA(VLOOKUP(E448,Master!D:U,14,0),0)</f>
        <v>5000</v>
      </c>
      <c r="K448" s="5">
        <v>0.0</v>
      </c>
      <c r="L448" s="5">
        <f t="shared" si="3"/>
        <v>5000</v>
      </c>
      <c r="M448" s="5">
        <f>IFNA(VLOOKUP(TRIM(E448),Master!D:U,13,0),"")</f>
        <v>2600</v>
      </c>
      <c r="N448" s="5">
        <f t="shared" si="4"/>
        <v>2400</v>
      </c>
      <c r="O448" s="16" t="s">
        <v>28</v>
      </c>
      <c r="P448" s="5">
        <f t="shared" si="5"/>
        <v>48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3" t="s">
        <v>310</v>
      </c>
      <c r="B449" s="2"/>
      <c r="C449" s="14"/>
      <c r="D449" s="3"/>
      <c r="E449" s="1" t="s">
        <v>33</v>
      </c>
      <c r="F449" s="1" t="str">
        <f t="shared" si="1"/>
        <v>24/02/26PL3040</v>
      </c>
      <c r="G449" s="1" t="str">
        <f t="shared" si="2"/>
        <v>O24/02/26</v>
      </c>
      <c r="H449" s="1" t="str">
        <f>IFNA(VLOOKUP(TRIM(E449),Master!D:M,4,0),"")</f>
        <v>KAWAT BONSAI SILVER NO.1.5 ECERAN</v>
      </c>
      <c r="I449" s="16">
        <v>6.0</v>
      </c>
      <c r="J449" s="5">
        <f>IFNA(VLOOKUP(E449,Master!D:U,14,0),0)</f>
        <v>750</v>
      </c>
      <c r="K449" s="5">
        <v>0.0</v>
      </c>
      <c r="L449" s="5">
        <f t="shared" si="3"/>
        <v>4500</v>
      </c>
      <c r="M449" s="5">
        <f>IFNA(VLOOKUP(TRIM(E449),Master!D:U,13,0),"")</f>
        <v>444</v>
      </c>
      <c r="N449" s="5">
        <f t="shared" si="4"/>
        <v>1836</v>
      </c>
      <c r="O449" s="16" t="s">
        <v>28</v>
      </c>
      <c r="P449" s="5">
        <f t="shared" si="5"/>
        <v>40.8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3" t="s">
        <v>310</v>
      </c>
      <c r="B450" s="2"/>
      <c r="C450" s="14"/>
      <c r="D450" s="3"/>
      <c r="E450" s="17" t="s">
        <v>66</v>
      </c>
      <c r="F450" s="1" t="str">
        <f t="shared" si="1"/>
        <v>24/02/26PL3038</v>
      </c>
      <c r="G450" s="1" t="str">
        <f t="shared" si="2"/>
        <v>O24/02/26</v>
      </c>
      <c r="H450" s="1" t="str">
        <f>IFNA(VLOOKUP(TRIM(E450),Master!D:M,4,0),"")</f>
        <v>KAWAT BONSAI SILVER NO.1 ECERAN</v>
      </c>
      <c r="I450" s="16">
        <v>10.0</v>
      </c>
      <c r="J450" s="5">
        <f>IFNA(VLOOKUP(E450,Master!D:U,14,0),0)</f>
        <v>500</v>
      </c>
      <c r="K450" s="5">
        <v>0.0</v>
      </c>
      <c r="L450" s="5">
        <f t="shared" si="3"/>
        <v>5000</v>
      </c>
      <c r="M450" s="5">
        <f>IFNA(VLOOKUP(TRIM(E450),Master!D:U,13,0),"")</f>
        <v>267</v>
      </c>
      <c r="N450" s="5">
        <f t="shared" si="4"/>
        <v>2330</v>
      </c>
      <c r="O450" s="16" t="s">
        <v>28</v>
      </c>
      <c r="P450" s="5">
        <f t="shared" si="5"/>
        <v>46.6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3" t="s">
        <v>310</v>
      </c>
      <c r="B451" s="2"/>
      <c r="C451" s="14"/>
      <c r="D451" s="3"/>
      <c r="E451" s="1" t="s">
        <v>33</v>
      </c>
      <c r="F451" s="1" t="str">
        <f t="shared" si="1"/>
        <v>24/02/26PL3040</v>
      </c>
      <c r="G451" s="1" t="str">
        <f t="shared" si="2"/>
        <v>O24/02/26</v>
      </c>
      <c r="H451" s="1" t="str">
        <f>IFNA(VLOOKUP(TRIM(E451),Master!D:M,4,0),"")</f>
        <v>KAWAT BONSAI SILVER NO.1.5 ECERAN</v>
      </c>
      <c r="I451" s="16">
        <v>5.0</v>
      </c>
      <c r="J451" s="5">
        <f>IFNA(VLOOKUP(E451,Master!D:U,14,0),0)</f>
        <v>750</v>
      </c>
      <c r="K451" s="5">
        <v>0.0</v>
      </c>
      <c r="L451" s="5">
        <f t="shared" si="3"/>
        <v>3750</v>
      </c>
      <c r="M451" s="5">
        <f>IFNA(VLOOKUP(TRIM(E451),Master!D:U,13,0),"")</f>
        <v>444</v>
      </c>
      <c r="N451" s="5">
        <f t="shared" si="4"/>
        <v>1530</v>
      </c>
      <c r="O451" s="16" t="s">
        <v>28</v>
      </c>
      <c r="P451" s="5">
        <f t="shared" si="5"/>
        <v>40.8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3" t="s">
        <v>310</v>
      </c>
      <c r="B452" s="13" t="s">
        <v>299</v>
      </c>
      <c r="C452" s="14"/>
      <c r="D452" s="15">
        <v>1.0</v>
      </c>
      <c r="E452" s="20" t="s">
        <v>37</v>
      </c>
      <c r="F452" s="1" t="str">
        <f t="shared" si="1"/>
        <v>24/02/26MT2050</v>
      </c>
      <c r="G452" s="1" t="str">
        <f t="shared" si="2"/>
        <v>C24/02/26</v>
      </c>
      <c r="H452" s="1" t="str">
        <f>IFNA(VLOOKUP(TRIM(E452),Master!D:M,4,0),"")</f>
        <v>TANAH SUBUR 10KG BINTANG TANI</v>
      </c>
      <c r="I452" s="16">
        <v>2.0</v>
      </c>
      <c r="J452" s="5">
        <f>IFNA(VLOOKUP(E452,Master!D:U,14,0),0)</f>
        <v>10000</v>
      </c>
      <c r="K452" s="5">
        <v>0.0</v>
      </c>
      <c r="L452" s="5">
        <f t="shared" si="3"/>
        <v>20000</v>
      </c>
      <c r="M452" s="5">
        <f>IFNA(VLOOKUP(TRIM(E452),Master!D:U,13,0),"")</f>
        <v>6000</v>
      </c>
      <c r="N452" s="5">
        <f t="shared" si="4"/>
        <v>8000</v>
      </c>
      <c r="O452" s="4" t="s">
        <v>19</v>
      </c>
      <c r="P452" s="5">
        <f t="shared" si="5"/>
        <v>40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3" t="s">
        <v>310</v>
      </c>
      <c r="B453" s="13" t="s">
        <v>299</v>
      </c>
      <c r="C453" s="14"/>
      <c r="D453" s="15">
        <v>1.0</v>
      </c>
      <c r="E453" s="1" t="s">
        <v>34</v>
      </c>
      <c r="F453" s="1" t="str">
        <f t="shared" si="1"/>
        <v>24/02/26MT2053</v>
      </c>
      <c r="G453" s="1" t="str">
        <f t="shared" si="2"/>
        <v>C24/02/26</v>
      </c>
      <c r="H453" s="1" t="str">
        <f>IFNA(VLOOKUP(TRIM(E453),Master!D:M,4,0),"")</f>
        <v>TANAH SUBUR 25KG BINTANG TANI</v>
      </c>
      <c r="I453" s="16">
        <v>4.0</v>
      </c>
      <c r="J453" s="5">
        <f>IFNA(VLOOKUP(E453,Master!D:U,14,0),0)</f>
        <v>25000</v>
      </c>
      <c r="K453" s="18">
        <v>2000.0</v>
      </c>
      <c r="L453" s="5">
        <f t="shared" si="3"/>
        <v>98000</v>
      </c>
      <c r="M453" s="5">
        <f>IFNA(VLOOKUP(TRIM(E453),Master!D:U,13,0),"")</f>
        <v>15000</v>
      </c>
      <c r="N453" s="5">
        <f t="shared" si="4"/>
        <v>38000</v>
      </c>
      <c r="O453" s="4" t="s">
        <v>19</v>
      </c>
      <c r="P453" s="5">
        <f t="shared" si="5"/>
        <v>40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3" t="s">
        <v>310</v>
      </c>
      <c r="B454" s="2"/>
      <c r="C454" s="14"/>
      <c r="D454" s="3"/>
      <c r="E454" s="1" t="s">
        <v>59</v>
      </c>
      <c r="F454" s="1" t="str">
        <f t="shared" si="1"/>
        <v>24/02/26PK5068</v>
      </c>
      <c r="G454" s="1" t="str">
        <f t="shared" si="2"/>
        <v>C24/02/26</v>
      </c>
      <c r="H454" s="1" t="str">
        <f>IFNA(VLOOKUP(TRIM(E454),Master!D:M,4,0),"")</f>
        <v>PUPUK ZA 1KG</v>
      </c>
      <c r="I454" s="4">
        <v>1.0</v>
      </c>
      <c r="J454" s="5">
        <f>IFNA(VLOOKUP(E454,Master!D:U,14,0),0)</f>
        <v>9000</v>
      </c>
      <c r="K454" s="5">
        <v>0.0</v>
      </c>
      <c r="L454" s="5">
        <f t="shared" si="3"/>
        <v>9000</v>
      </c>
      <c r="M454" s="5">
        <f>IFNA(VLOOKUP(TRIM(E454),Master!D:U,13,0),"")</f>
        <v>6000</v>
      </c>
      <c r="N454" s="5">
        <f t="shared" si="4"/>
        <v>3000</v>
      </c>
      <c r="O454" s="4" t="s">
        <v>19</v>
      </c>
      <c r="P454" s="5">
        <f t="shared" si="5"/>
        <v>33.33333333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3" t="s">
        <v>313</v>
      </c>
      <c r="B455" s="13" t="s">
        <v>314</v>
      </c>
      <c r="C455" s="14"/>
      <c r="D455" s="15">
        <v>1.0</v>
      </c>
      <c r="E455" s="1" t="s">
        <v>58</v>
      </c>
      <c r="F455" s="1" t="str">
        <f t="shared" si="1"/>
        <v>25/02/26MT2041</v>
      </c>
      <c r="G455" s="1" t="str">
        <f t="shared" si="2"/>
        <v>I25/02/26</v>
      </c>
      <c r="H455" s="1" t="str">
        <f>IFNA(VLOOKUP(TRIM(E455),Master!D:M,4,0),"")</f>
        <v>SEKAM BAKAR 5KG</v>
      </c>
      <c r="I455" s="4">
        <v>1.0</v>
      </c>
      <c r="J455" s="5">
        <f>IFNA(VLOOKUP(E455,Master!D:U,14,0),0)</f>
        <v>8000</v>
      </c>
      <c r="K455" s="5">
        <v>0.0</v>
      </c>
      <c r="L455" s="5">
        <f t="shared" si="3"/>
        <v>8000</v>
      </c>
      <c r="M455" s="5">
        <f>IFNA(VLOOKUP(TRIM(E455),Master!D:U,13,0),"")</f>
        <v>3400</v>
      </c>
      <c r="N455" s="5">
        <f t="shared" si="4"/>
        <v>4600</v>
      </c>
      <c r="O455" s="16" t="s">
        <v>23</v>
      </c>
      <c r="P455" s="5">
        <f t="shared" si="5"/>
        <v>57.5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3" t="s">
        <v>313</v>
      </c>
      <c r="B456" s="2"/>
      <c r="C456" s="14"/>
      <c r="D456" s="3"/>
      <c r="E456" s="1" t="s">
        <v>35</v>
      </c>
      <c r="F456" s="1" t="str">
        <f t="shared" si="1"/>
        <v>25/02/26PL3113</v>
      </c>
      <c r="G456" s="1" t="str">
        <f t="shared" si="2"/>
        <v>I25/02/26</v>
      </c>
      <c r="H456" s="1" t="str">
        <f>IFNA(VLOOKUP(TRIM(E456),Master!D:M,4,0),"")</f>
        <v>POLYBAG 30</v>
      </c>
      <c r="I456" s="4">
        <v>1.0</v>
      </c>
      <c r="J456" s="5">
        <f>IFNA(VLOOKUP(E456,Master!D:U,14,0),0)</f>
        <v>5000</v>
      </c>
      <c r="K456" s="5">
        <v>0.0</v>
      </c>
      <c r="L456" s="5">
        <f t="shared" si="3"/>
        <v>5000</v>
      </c>
      <c r="M456" s="5">
        <f>IFNA(VLOOKUP(TRIM(E456),Master!D:U,13,0),"")</f>
        <v>3500</v>
      </c>
      <c r="N456" s="5">
        <f t="shared" si="4"/>
        <v>1500</v>
      </c>
      <c r="O456" s="16" t="s">
        <v>23</v>
      </c>
      <c r="P456" s="5">
        <f t="shared" si="5"/>
        <v>30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3" t="s">
        <v>313</v>
      </c>
      <c r="B457" s="2"/>
      <c r="C457" s="14"/>
      <c r="D457" s="3"/>
      <c r="E457" s="17" t="s">
        <v>30</v>
      </c>
      <c r="F457" s="1" t="str">
        <f t="shared" si="1"/>
        <v>25/02/26PL3115</v>
      </c>
      <c r="G457" s="1" t="str">
        <f t="shared" si="2"/>
        <v>I25/02/26</v>
      </c>
      <c r="H457" s="1" t="str">
        <f>IFNA(VLOOKUP(TRIM(E457),Master!D:M,4,0),"")</f>
        <v>POLYBAG 40</v>
      </c>
      <c r="I457" s="16">
        <v>2.0</v>
      </c>
      <c r="J457" s="5">
        <f>IFNA(VLOOKUP(E457,Master!D:U,14,0),0)</f>
        <v>1000</v>
      </c>
      <c r="K457" s="5">
        <v>0.0</v>
      </c>
      <c r="L457" s="5">
        <f t="shared" si="3"/>
        <v>2000</v>
      </c>
      <c r="M457" s="5">
        <f>IFNA(VLOOKUP(TRIM(E457),Master!D:U,13,0),"")</f>
        <v>500</v>
      </c>
      <c r="N457" s="5">
        <f t="shared" si="4"/>
        <v>1000</v>
      </c>
      <c r="O457" s="16" t="s">
        <v>23</v>
      </c>
      <c r="P457" s="5">
        <f t="shared" si="5"/>
        <v>50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3" t="s">
        <v>313</v>
      </c>
      <c r="B458" s="2"/>
      <c r="C458" s="14"/>
      <c r="D458" s="3"/>
      <c r="E458" s="20" t="s">
        <v>37</v>
      </c>
      <c r="F458" s="1" t="str">
        <f t="shared" si="1"/>
        <v>25/02/26MT2050</v>
      </c>
      <c r="G458" s="1" t="str">
        <f t="shared" si="2"/>
        <v>I25/02/26</v>
      </c>
      <c r="H458" s="1" t="str">
        <f>IFNA(VLOOKUP(TRIM(E458),Master!D:M,4,0),"")</f>
        <v>TANAH SUBUR 10KG BINTANG TANI</v>
      </c>
      <c r="I458" s="4">
        <v>1.0</v>
      </c>
      <c r="J458" s="5">
        <f>IFNA(VLOOKUP(E458,Master!D:U,14,0),0)</f>
        <v>10000</v>
      </c>
      <c r="K458" s="5">
        <v>0.0</v>
      </c>
      <c r="L458" s="5">
        <f t="shared" si="3"/>
        <v>10000</v>
      </c>
      <c r="M458" s="5">
        <f>IFNA(VLOOKUP(TRIM(E458),Master!D:U,13,0),"")</f>
        <v>6000</v>
      </c>
      <c r="N458" s="5">
        <f t="shared" si="4"/>
        <v>4000</v>
      </c>
      <c r="O458" s="16" t="s">
        <v>23</v>
      </c>
      <c r="P458" s="5">
        <f t="shared" si="5"/>
        <v>40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3" t="s">
        <v>313</v>
      </c>
      <c r="B459" s="13" t="s">
        <v>315</v>
      </c>
      <c r="C459" s="14"/>
      <c r="D459" s="15">
        <v>1.0</v>
      </c>
      <c r="E459" s="20" t="s">
        <v>37</v>
      </c>
      <c r="F459" s="1" t="str">
        <f t="shared" si="1"/>
        <v>25/02/26MT2050</v>
      </c>
      <c r="G459" s="1" t="str">
        <f t="shared" si="2"/>
        <v>C25/02/26</v>
      </c>
      <c r="H459" s="1" t="str">
        <f>IFNA(VLOOKUP(TRIM(E459),Master!D:M,4,0),"")</f>
        <v>TANAH SUBUR 10KG BINTANG TANI</v>
      </c>
      <c r="I459" s="4">
        <v>1.0</v>
      </c>
      <c r="J459" s="5">
        <f>IFNA(VLOOKUP(E459,Master!D:U,14,0),0)</f>
        <v>10000</v>
      </c>
      <c r="K459" s="5">
        <v>0.0</v>
      </c>
      <c r="L459" s="5">
        <f t="shared" si="3"/>
        <v>10000</v>
      </c>
      <c r="M459" s="5">
        <f>IFNA(VLOOKUP(TRIM(E459),Master!D:U,13,0),"")</f>
        <v>6000</v>
      </c>
      <c r="N459" s="5">
        <f t="shared" si="4"/>
        <v>4000</v>
      </c>
      <c r="O459" s="4" t="s">
        <v>19</v>
      </c>
      <c r="P459" s="5">
        <f t="shared" si="5"/>
        <v>40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3" t="s">
        <v>313</v>
      </c>
      <c r="B460" s="13" t="s">
        <v>315</v>
      </c>
      <c r="C460" s="14"/>
      <c r="D460" s="15">
        <v>1.0</v>
      </c>
      <c r="E460" s="1" t="s">
        <v>34</v>
      </c>
      <c r="F460" s="1" t="str">
        <f t="shared" si="1"/>
        <v>25/02/26MT2053</v>
      </c>
      <c r="G460" s="1" t="str">
        <f t="shared" si="2"/>
        <v>C25/02/26</v>
      </c>
      <c r="H460" s="1" t="str">
        <f>IFNA(VLOOKUP(TRIM(E460),Master!D:M,4,0),"")</f>
        <v>TANAH SUBUR 25KG BINTANG TANI</v>
      </c>
      <c r="I460" s="4">
        <v>1.0</v>
      </c>
      <c r="J460" s="5">
        <f>IFNA(VLOOKUP(E460,Master!D:U,14,0),0)</f>
        <v>25000</v>
      </c>
      <c r="K460" s="5">
        <v>0.0</v>
      </c>
      <c r="L460" s="5">
        <f t="shared" si="3"/>
        <v>25000</v>
      </c>
      <c r="M460" s="5">
        <f>IFNA(VLOOKUP(TRIM(E460),Master!D:U,13,0),"")</f>
        <v>15000</v>
      </c>
      <c r="N460" s="5">
        <f t="shared" si="4"/>
        <v>10000</v>
      </c>
      <c r="O460" s="4" t="s">
        <v>19</v>
      </c>
      <c r="P460" s="5">
        <f t="shared" si="5"/>
        <v>40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3" t="s">
        <v>313</v>
      </c>
      <c r="B461" s="2"/>
      <c r="C461" s="14"/>
      <c r="D461" s="3"/>
      <c r="E461" s="1" t="s">
        <v>46</v>
      </c>
      <c r="F461" s="1" t="str">
        <f t="shared" si="1"/>
        <v>25/02/26MT2044</v>
      </c>
      <c r="G461" s="1" t="str">
        <f t="shared" si="2"/>
        <v>C25/02/26</v>
      </c>
      <c r="H461" s="1" t="str">
        <f>IFNA(VLOOKUP(TRIM(E461),Master!D:M,4,0),"")</f>
        <v>SEKAM MENTAH 10KG</v>
      </c>
      <c r="I461" s="4">
        <v>1.0</v>
      </c>
      <c r="J461" s="5">
        <f>IFNA(VLOOKUP(E461,Master!D:U,14,0),0)</f>
        <v>10000</v>
      </c>
      <c r="K461" s="5">
        <v>0.0</v>
      </c>
      <c r="L461" s="5">
        <f t="shared" si="3"/>
        <v>10000</v>
      </c>
      <c r="M461" s="5">
        <f>IFNA(VLOOKUP(TRIM(E461),Master!D:U,13,0),"")</f>
        <v>6000</v>
      </c>
      <c r="N461" s="5">
        <f t="shared" si="4"/>
        <v>4000</v>
      </c>
      <c r="O461" s="4" t="s">
        <v>19</v>
      </c>
      <c r="P461" s="5">
        <f t="shared" si="5"/>
        <v>40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3" t="s">
        <v>313</v>
      </c>
      <c r="B462" s="13" t="s">
        <v>316</v>
      </c>
      <c r="C462" s="14"/>
      <c r="D462" s="15">
        <v>1.0</v>
      </c>
      <c r="E462" s="20" t="s">
        <v>37</v>
      </c>
      <c r="F462" s="1" t="str">
        <f t="shared" si="1"/>
        <v>25/02/26MT2050</v>
      </c>
      <c r="G462" s="1" t="str">
        <f t="shared" si="2"/>
        <v>C25/02/26</v>
      </c>
      <c r="H462" s="1" t="str">
        <f>IFNA(VLOOKUP(TRIM(E462),Master!D:M,4,0),"")</f>
        <v>TANAH SUBUR 10KG BINTANG TANI</v>
      </c>
      <c r="I462" s="16">
        <v>2.0</v>
      </c>
      <c r="J462" s="5">
        <f>IFNA(VLOOKUP(E462,Master!D:U,14,0),0)</f>
        <v>10000</v>
      </c>
      <c r="K462" s="5">
        <v>0.0</v>
      </c>
      <c r="L462" s="5">
        <f t="shared" si="3"/>
        <v>20000</v>
      </c>
      <c r="M462" s="5">
        <f>IFNA(VLOOKUP(TRIM(E462),Master!D:U,13,0),"")</f>
        <v>6000</v>
      </c>
      <c r="N462" s="5">
        <f t="shared" si="4"/>
        <v>8000</v>
      </c>
      <c r="O462" s="4" t="s">
        <v>19</v>
      </c>
      <c r="P462" s="5">
        <f t="shared" si="5"/>
        <v>40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3" t="s">
        <v>313</v>
      </c>
      <c r="B463" s="2"/>
      <c r="C463" s="14"/>
      <c r="D463" s="3"/>
      <c r="E463" s="1" t="s">
        <v>317</v>
      </c>
      <c r="F463" s="1" t="str">
        <f t="shared" si="1"/>
        <v>25/02/26PL3151</v>
      </c>
      <c r="G463" s="1" t="str">
        <f t="shared" si="2"/>
        <v>C25/02/26</v>
      </c>
      <c r="H463" s="1" t="str">
        <f>IFNA(VLOOKUP(TRIM(E463),Master!D:M,4,0),"")</f>
        <v>POT GMP B 50 HITAM</v>
      </c>
      <c r="I463" s="4">
        <v>1.0</v>
      </c>
      <c r="J463" s="5">
        <f>IFNA(VLOOKUP(E463,Master!D:U,14,0),0)</f>
        <v>42000</v>
      </c>
      <c r="K463" s="18">
        <v>2000.0</v>
      </c>
      <c r="L463" s="5">
        <f t="shared" si="3"/>
        <v>40000</v>
      </c>
      <c r="M463" s="5">
        <f>IFNA(VLOOKUP(TRIM(E463),Master!D:U,13,0),"")</f>
        <v>30500</v>
      </c>
      <c r="N463" s="5">
        <f t="shared" si="4"/>
        <v>9500</v>
      </c>
      <c r="O463" s="4" t="s">
        <v>19</v>
      </c>
      <c r="P463" s="5">
        <f t="shared" si="5"/>
        <v>27.38095238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3" t="s">
        <v>313</v>
      </c>
      <c r="B464" s="13" t="s">
        <v>194</v>
      </c>
      <c r="C464" s="14"/>
      <c r="D464" s="15">
        <v>1.0</v>
      </c>
      <c r="E464" s="20" t="s">
        <v>37</v>
      </c>
      <c r="F464" s="1" t="str">
        <f t="shared" si="1"/>
        <v>25/02/26MT2050</v>
      </c>
      <c r="G464" s="1" t="str">
        <f t="shared" si="2"/>
        <v>C25/02/26</v>
      </c>
      <c r="H464" s="1" t="str">
        <f>IFNA(VLOOKUP(TRIM(E464),Master!D:M,4,0),"")</f>
        <v>TANAH SUBUR 10KG BINTANG TANI</v>
      </c>
      <c r="I464" s="4">
        <v>1.0</v>
      </c>
      <c r="J464" s="5">
        <f>IFNA(VLOOKUP(E464,Master!D:U,14,0),0)</f>
        <v>10000</v>
      </c>
      <c r="K464" s="5">
        <v>0.0</v>
      </c>
      <c r="L464" s="5">
        <f t="shared" si="3"/>
        <v>10000</v>
      </c>
      <c r="M464" s="5">
        <f>IFNA(VLOOKUP(TRIM(E464),Master!D:U,13,0),"")</f>
        <v>6000</v>
      </c>
      <c r="N464" s="5">
        <f t="shared" si="4"/>
        <v>4000</v>
      </c>
      <c r="O464" s="4" t="s">
        <v>19</v>
      </c>
      <c r="P464" s="5">
        <f t="shared" si="5"/>
        <v>40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3" t="s">
        <v>313</v>
      </c>
      <c r="B465" s="2"/>
      <c r="C465" s="14"/>
      <c r="D465" s="3"/>
      <c r="E465" s="1" t="s">
        <v>91</v>
      </c>
      <c r="F465" s="1" t="str">
        <f t="shared" si="1"/>
        <v>25/02/26PK5048</v>
      </c>
      <c r="G465" s="1" t="str">
        <f t="shared" si="2"/>
        <v>C25/02/26</v>
      </c>
      <c r="H465" s="1" t="str">
        <f>IFNA(VLOOKUP(TRIM(E465),Master!D:M,4,0),"")</f>
        <v>PUPUK MUTIARA 161616 100GR RPK</v>
      </c>
      <c r="I465" s="4">
        <v>1.0</v>
      </c>
      <c r="J465" s="5">
        <f>IFNA(VLOOKUP(E465,Master!D:U,14,0),0)</f>
        <v>3000</v>
      </c>
      <c r="K465" s="18">
        <v>-2000.0</v>
      </c>
      <c r="L465" s="5">
        <f t="shared" si="3"/>
        <v>5000</v>
      </c>
      <c r="M465" s="5">
        <f>IFNA(VLOOKUP(TRIM(E465),Master!D:U,13,0),"")</f>
        <v>1900</v>
      </c>
      <c r="N465" s="5">
        <f t="shared" si="4"/>
        <v>3100</v>
      </c>
      <c r="O465" s="4" t="s">
        <v>19</v>
      </c>
      <c r="P465" s="5">
        <f t="shared" si="5"/>
        <v>36.66666667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3" t="s">
        <v>313</v>
      </c>
      <c r="B466" s="13" t="s">
        <v>206</v>
      </c>
      <c r="C466" s="14"/>
      <c r="D466" s="15">
        <v>1.0</v>
      </c>
      <c r="E466" s="20" t="s">
        <v>37</v>
      </c>
      <c r="F466" s="1" t="str">
        <f t="shared" si="1"/>
        <v>25/02/26MT2050</v>
      </c>
      <c r="G466" s="1" t="str">
        <f t="shared" si="2"/>
        <v>C25/02/26</v>
      </c>
      <c r="H466" s="1" t="str">
        <f>IFNA(VLOOKUP(TRIM(E466),Master!D:M,4,0),"")</f>
        <v>TANAH SUBUR 10KG BINTANG TANI</v>
      </c>
      <c r="I466" s="4">
        <v>1.0</v>
      </c>
      <c r="J466" s="5">
        <f>IFNA(VLOOKUP(E466,Master!D:U,14,0),0)</f>
        <v>10000</v>
      </c>
      <c r="K466" s="5">
        <v>0.0</v>
      </c>
      <c r="L466" s="5">
        <f t="shared" si="3"/>
        <v>10000</v>
      </c>
      <c r="M466" s="5">
        <f>IFNA(VLOOKUP(TRIM(E466),Master!D:U,13,0),"")</f>
        <v>6000</v>
      </c>
      <c r="N466" s="5">
        <f t="shared" si="4"/>
        <v>4000</v>
      </c>
      <c r="O466" s="4" t="s">
        <v>19</v>
      </c>
      <c r="P466" s="5">
        <f t="shared" si="5"/>
        <v>40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3" t="s">
        <v>313</v>
      </c>
      <c r="B467" s="2"/>
      <c r="C467" s="14"/>
      <c r="D467" s="3"/>
      <c r="E467" s="1" t="s">
        <v>94</v>
      </c>
      <c r="F467" s="1" t="str">
        <f t="shared" si="1"/>
        <v>25/02/26MT2039</v>
      </c>
      <c r="G467" s="1" t="str">
        <f t="shared" si="2"/>
        <v>C25/02/26</v>
      </c>
      <c r="H467" s="1" t="str">
        <f>IFNA(VLOOKUP(TRIM(E467),Master!D:M,4,0),"")</f>
        <v>SEKAM BAKAR 10KG</v>
      </c>
      <c r="I467" s="4">
        <v>1.0</v>
      </c>
      <c r="J467" s="5">
        <f>IFNA(VLOOKUP(E467,Master!D:U,14,0),0)</f>
        <v>12000</v>
      </c>
      <c r="K467" s="5">
        <v>0.0</v>
      </c>
      <c r="L467" s="5">
        <f t="shared" si="3"/>
        <v>12000</v>
      </c>
      <c r="M467" s="5">
        <f>IFNA(VLOOKUP(TRIM(E467),Master!D:U,13,0),"")</f>
        <v>6000</v>
      </c>
      <c r="N467" s="5">
        <f t="shared" si="4"/>
        <v>6000</v>
      </c>
      <c r="O467" s="4" t="s">
        <v>19</v>
      </c>
      <c r="P467" s="5">
        <f t="shared" si="5"/>
        <v>50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3" t="s">
        <v>313</v>
      </c>
      <c r="B468" s="13" t="s">
        <v>206</v>
      </c>
      <c r="C468" s="14"/>
      <c r="D468" s="15">
        <v>1.0</v>
      </c>
      <c r="E468" s="17" t="s">
        <v>74</v>
      </c>
      <c r="F468" s="1" t="str">
        <f t="shared" si="1"/>
        <v>25/02/26PL3026</v>
      </c>
      <c r="G468" s="1" t="str">
        <f t="shared" si="2"/>
        <v>C25/02/26</v>
      </c>
      <c r="H468" s="1" t="str">
        <f>IFNA(VLOOKUP(TRIM(E468),Master!D:M,4,0),"")</f>
        <v>KAWAT BONSAI HITAM NO.1 ECERAN</v>
      </c>
      <c r="I468" s="16">
        <v>26.0</v>
      </c>
      <c r="J468" s="5">
        <f>IFNA(VLOOKUP(E468,Master!D:U,14,0),0)</f>
        <v>750</v>
      </c>
      <c r="K468" s="18">
        <v>-500.0</v>
      </c>
      <c r="L468" s="5">
        <f t="shared" si="3"/>
        <v>20000</v>
      </c>
      <c r="M468" s="5">
        <f>IFNA(VLOOKUP(TRIM(E468),Master!D:U,13,0),"")</f>
        <v>407</v>
      </c>
      <c r="N468" s="5">
        <f t="shared" si="4"/>
        <v>9418</v>
      </c>
      <c r="O468" s="4" t="s">
        <v>19</v>
      </c>
      <c r="P468" s="5">
        <f t="shared" si="5"/>
        <v>45.73333333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3" t="s">
        <v>313</v>
      </c>
      <c r="B469" s="13" t="s">
        <v>206</v>
      </c>
      <c r="C469" s="14"/>
      <c r="D469" s="15">
        <v>1.0</v>
      </c>
      <c r="E469" s="1" t="s">
        <v>94</v>
      </c>
      <c r="F469" s="1" t="str">
        <f t="shared" si="1"/>
        <v>25/02/26MT2039</v>
      </c>
      <c r="G469" s="1" t="str">
        <f t="shared" si="2"/>
        <v>C25/02/26</v>
      </c>
      <c r="H469" s="1" t="str">
        <f>IFNA(VLOOKUP(TRIM(E469),Master!D:M,4,0),"")</f>
        <v>SEKAM BAKAR 10KG</v>
      </c>
      <c r="I469" s="4">
        <v>1.0</v>
      </c>
      <c r="J469" s="5">
        <f>IFNA(VLOOKUP(E469,Master!D:U,14,0),0)</f>
        <v>12000</v>
      </c>
      <c r="K469" s="5">
        <v>0.0</v>
      </c>
      <c r="L469" s="5">
        <f t="shared" si="3"/>
        <v>12000</v>
      </c>
      <c r="M469" s="5">
        <f>IFNA(VLOOKUP(TRIM(E469),Master!D:U,13,0),"")</f>
        <v>6000</v>
      </c>
      <c r="N469" s="5">
        <f t="shared" si="4"/>
        <v>6000</v>
      </c>
      <c r="O469" s="4" t="s">
        <v>19</v>
      </c>
      <c r="P469" s="5">
        <f t="shared" si="5"/>
        <v>50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3" t="s">
        <v>313</v>
      </c>
      <c r="B470" s="2"/>
      <c r="C470" s="14"/>
      <c r="D470" s="3"/>
      <c r="E470" s="1" t="s">
        <v>18</v>
      </c>
      <c r="F470" s="1" t="str">
        <f t="shared" si="1"/>
        <v>25/02/26PK5043</v>
      </c>
      <c r="G470" s="1" t="str">
        <f t="shared" si="2"/>
        <v>C25/02/26</v>
      </c>
      <c r="H470" s="1" t="str">
        <f>IFNA(VLOOKUP(TRIM(E470),Master!D:M,4,0),"")</f>
        <v>PUPUK KAMBING 5KG</v>
      </c>
      <c r="I470" s="4">
        <v>1.0</v>
      </c>
      <c r="J470" s="5">
        <f>IFNA(VLOOKUP(E470,Master!D:U,14,0),0)</f>
        <v>15000</v>
      </c>
      <c r="K470" s="5">
        <v>0.0</v>
      </c>
      <c r="L470" s="5">
        <f t="shared" si="3"/>
        <v>15000</v>
      </c>
      <c r="M470" s="5">
        <f>IFNA(VLOOKUP(TRIM(E470),Master!D:U,13,0),"")</f>
        <v>8000</v>
      </c>
      <c r="N470" s="5">
        <f t="shared" si="4"/>
        <v>7000</v>
      </c>
      <c r="O470" s="4" t="s">
        <v>19</v>
      </c>
      <c r="P470" s="5">
        <f t="shared" si="5"/>
        <v>46.66666667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3" t="s">
        <v>313</v>
      </c>
      <c r="B471" s="2"/>
      <c r="C471" s="14"/>
      <c r="D471" s="3"/>
      <c r="E471" s="1" t="s">
        <v>45</v>
      </c>
      <c r="F471" s="1" t="str">
        <f t="shared" si="1"/>
        <v>25/02/26MT2008</v>
      </c>
      <c r="G471" s="1" t="str">
        <f t="shared" si="2"/>
        <v>C25/02/26</v>
      </c>
      <c r="H471" s="1" t="str">
        <f>IFNA(VLOOKUP(TRIM(E471),Master!D:M,4,0),"")</f>
        <v>COCOPEAT NON FERMENTASI 10KG</v>
      </c>
      <c r="I471" s="4">
        <v>1.0</v>
      </c>
      <c r="J471" s="5">
        <f>IFNA(VLOOKUP(E471,Master!D:U,14,0),0)</f>
        <v>10000</v>
      </c>
      <c r="K471" s="18">
        <v>-5000.0</v>
      </c>
      <c r="L471" s="5">
        <f t="shared" si="3"/>
        <v>15000</v>
      </c>
      <c r="M471" s="5">
        <f>IFNA(VLOOKUP(TRIM(E471),Master!D:U,13,0),"")</f>
        <v>6000</v>
      </c>
      <c r="N471" s="5">
        <f t="shared" si="4"/>
        <v>9000</v>
      </c>
      <c r="O471" s="4" t="s">
        <v>19</v>
      </c>
      <c r="P471" s="5">
        <f t="shared" si="5"/>
        <v>40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3" t="s">
        <v>313</v>
      </c>
      <c r="B472" s="13" t="s">
        <v>318</v>
      </c>
      <c r="C472" s="14"/>
      <c r="D472" s="15">
        <v>1.0</v>
      </c>
      <c r="E472" s="17" t="s">
        <v>42</v>
      </c>
      <c r="F472" s="1" t="str">
        <f t="shared" si="1"/>
        <v>25/02/26PL3042</v>
      </c>
      <c r="G472" s="1" t="str">
        <f t="shared" si="2"/>
        <v>O25/02/26</v>
      </c>
      <c r="H472" s="1" t="str">
        <f>IFNA(VLOOKUP(TRIM(E472),Master!D:M,4,0),"")</f>
        <v>KAWAT BONSAI SILVER NO.2 ECERAN</v>
      </c>
      <c r="I472" s="16">
        <v>9.0</v>
      </c>
      <c r="J472" s="5">
        <f>IFNA(VLOOKUP(E472,Master!D:U,14,0),0)</f>
        <v>1500</v>
      </c>
      <c r="K472" s="5">
        <v>0.0</v>
      </c>
      <c r="L472" s="5">
        <f t="shared" si="3"/>
        <v>13500</v>
      </c>
      <c r="M472" s="5">
        <f>IFNA(VLOOKUP(TRIM(E472),Master!D:U,13,0),"")</f>
        <v>800</v>
      </c>
      <c r="N472" s="5">
        <f t="shared" si="4"/>
        <v>6300</v>
      </c>
      <c r="O472" s="16" t="s">
        <v>28</v>
      </c>
      <c r="P472" s="5">
        <f t="shared" si="5"/>
        <v>46.66666667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3" t="s">
        <v>313</v>
      </c>
      <c r="B473" s="2"/>
      <c r="C473" s="14"/>
      <c r="D473" s="3"/>
      <c r="E473" s="1" t="s">
        <v>33</v>
      </c>
      <c r="F473" s="1" t="str">
        <f t="shared" si="1"/>
        <v>25/02/26PL3040</v>
      </c>
      <c r="G473" s="1" t="str">
        <f t="shared" si="2"/>
        <v>O25/02/26</v>
      </c>
      <c r="H473" s="1" t="str">
        <f>IFNA(VLOOKUP(TRIM(E473),Master!D:M,4,0),"")</f>
        <v>KAWAT BONSAI SILVER NO.1.5 ECERAN</v>
      </c>
      <c r="I473" s="16">
        <v>3.0</v>
      </c>
      <c r="J473" s="5">
        <f>IFNA(VLOOKUP(E473,Master!D:U,14,0),0)</f>
        <v>750</v>
      </c>
      <c r="K473" s="5">
        <v>0.0</v>
      </c>
      <c r="L473" s="5">
        <f t="shared" si="3"/>
        <v>2250</v>
      </c>
      <c r="M473" s="5">
        <f>IFNA(VLOOKUP(TRIM(E473),Master!D:U,13,0),"")</f>
        <v>444</v>
      </c>
      <c r="N473" s="5">
        <f t="shared" si="4"/>
        <v>918</v>
      </c>
      <c r="O473" s="16" t="s">
        <v>28</v>
      </c>
      <c r="P473" s="5">
        <f t="shared" si="5"/>
        <v>40.8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3" t="s">
        <v>313</v>
      </c>
      <c r="B474" s="2"/>
      <c r="C474" s="14"/>
      <c r="D474" s="3"/>
      <c r="E474" s="17" t="s">
        <v>42</v>
      </c>
      <c r="F474" s="1" t="str">
        <f t="shared" si="1"/>
        <v>25/02/26PL3042</v>
      </c>
      <c r="G474" s="1" t="str">
        <f t="shared" si="2"/>
        <v>O25/02/26</v>
      </c>
      <c r="H474" s="1" t="str">
        <f>IFNA(VLOOKUP(TRIM(E474),Master!D:M,4,0),"")</f>
        <v>KAWAT BONSAI SILVER NO.2 ECERAN</v>
      </c>
      <c r="I474" s="16">
        <v>10.0</v>
      </c>
      <c r="J474" s="5">
        <f>IFNA(VLOOKUP(E474,Master!D:U,14,0),0)</f>
        <v>1500</v>
      </c>
      <c r="K474" s="5">
        <v>0.0</v>
      </c>
      <c r="L474" s="5">
        <f t="shared" si="3"/>
        <v>15000</v>
      </c>
      <c r="M474" s="5">
        <f>IFNA(VLOOKUP(TRIM(E474),Master!D:U,13,0),"")</f>
        <v>800</v>
      </c>
      <c r="N474" s="5">
        <f t="shared" si="4"/>
        <v>7000</v>
      </c>
      <c r="O474" s="16" t="s">
        <v>28</v>
      </c>
      <c r="P474" s="5">
        <f t="shared" si="5"/>
        <v>46.66666667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3" t="s">
        <v>313</v>
      </c>
      <c r="B475" s="2"/>
      <c r="C475" s="14"/>
      <c r="D475" s="3"/>
      <c r="E475" s="1" t="s">
        <v>33</v>
      </c>
      <c r="F475" s="1" t="str">
        <f t="shared" si="1"/>
        <v>25/02/26PL3040</v>
      </c>
      <c r="G475" s="1" t="str">
        <f t="shared" si="2"/>
        <v>O25/02/26</v>
      </c>
      <c r="H475" s="1" t="str">
        <f>IFNA(VLOOKUP(TRIM(E475),Master!D:M,4,0),"")</f>
        <v>KAWAT BONSAI SILVER NO.1.5 ECERAN</v>
      </c>
      <c r="I475" s="16">
        <v>5.0</v>
      </c>
      <c r="J475" s="5">
        <f>IFNA(VLOOKUP(E475,Master!D:U,14,0),0)</f>
        <v>750</v>
      </c>
      <c r="K475" s="5">
        <v>0.0</v>
      </c>
      <c r="L475" s="5">
        <f t="shared" si="3"/>
        <v>3750</v>
      </c>
      <c r="M475" s="5">
        <f>IFNA(VLOOKUP(TRIM(E475),Master!D:U,13,0),"")</f>
        <v>444</v>
      </c>
      <c r="N475" s="5">
        <f t="shared" si="4"/>
        <v>1530</v>
      </c>
      <c r="O475" s="16" t="s">
        <v>28</v>
      </c>
      <c r="P475" s="5">
        <f t="shared" si="5"/>
        <v>40.8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3" t="s">
        <v>313</v>
      </c>
      <c r="B476" s="13" t="s">
        <v>319</v>
      </c>
      <c r="C476" s="14"/>
      <c r="D476" s="15">
        <v>1.0</v>
      </c>
      <c r="E476" s="20" t="s">
        <v>37</v>
      </c>
      <c r="F476" s="1" t="str">
        <f t="shared" si="1"/>
        <v>25/02/26MT2050</v>
      </c>
      <c r="G476" s="1" t="str">
        <f t="shared" si="2"/>
        <v>C25/02/26</v>
      </c>
      <c r="H476" s="1" t="str">
        <f>IFNA(VLOOKUP(TRIM(E476),Master!D:M,4,0),"")</f>
        <v>TANAH SUBUR 10KG BINTANG TANI</v>
      </c>
      <c r="I476" s="16">
        <v>5.0</v>
      </c>
      <c r="J476" s="5">
        <f>IFNA(VLOOKUP(E476,Master!D:U,14,0),0)</f>
        <v>10000</v>
      </c>
      <c r="K476" s="5">
        <v>0.0</v>
      </c>
      <c r="L476" s="5">
        <f t="shared" si="3"/>
        <v>50000</v>
      </c>
      <c r="M476" s="5">
        <f>IFNA(VLOOKUP(TRIM(E476),Master!D:U,13,0),"")</f>
        <v>6000</v>
      </c>
      <c r="N476" s="5">
        <f t="shared" si="4"/>
        <v>20000</v>
      </c>
      <c r="O476" s="4" t="s">
        <v>19</v>
      </c>
      <c r="P476" s="5">
        <f t="shared" si="5"/>
        <v>40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3" t="s">
        <v>313</v>
      </c>
      <c r="B477" s="13" t="s">
        <v>319</v>
      </c>
      <c r="C477" s="14"/>
      <c r="D477" s="15">
        <v>1.0</v>
      </c>
      <c r="E477" s="17" t="s">
        <v>177</v>
      </c>
      <c r="F477" s="1" t="str">
        <f t="shared" si="1"/>
        <v>25/02/26PL3069</v>
      </c>
      <c r="G477" s="1" t="str">
        <f t="shared" si="2"/>
        <v>C25/02/26</v>
      </c>
      <c r="H477" s="1" t="str">
        <f>IFNA(VLOOKUP(TRIM(E477),Master!D:M,4,0),"")</f>
        <v>DC 25X25</v>
      </c>
      <c r="I477" s="4">
        <v>1.0</v>
      </c>
      <c r="J477" s="5">
        <f>IFNA(VLOOKUP(E477,Master!D:U,14,0),0)</f>
        <v>13000</v>
      </c>
      <c r="K477" s="5">
        <v>0.0</v>
      </c>
      <c r="L477" s="5">
        <f t="shared" si="3"/>
        <v>13000</v>
      </c>
      <c r="M477" s="5">
        <f>IFNA(VLOOKUP(TRIM(E477),Master!D:U,13,0),"")</f>
        <v>8000</v>
      </c>
      <c r="N477" s="5">
        <f t="shared" si="4"/>
        <v>5000</v>
      </c>
      <c r="O477" s="4" t="s">
        <v>19</v>
      </c>
      <c r="P477" s="5">
        <f t="shared" si="5"/>
        <v>38.46153846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3" t="s">
        <v>313</v>
      </c>
      <c r="B478" s="2"/>
      <c r="C478" s="14"/>
      <c r="D478" s="3"/>
      <c r="E478" s="1" t="s">
        <v>234</v>
      </c>
      <c r="F478" s="1" t="str">
        <f t="shared" si="1"/>
        <v>25/02/26PL3070</v>
      </c>
      <c r="G478" s="1" t="str">
        <f t="shared" si="2"/>
        <v>C25/02/26</v>
      </c>
      <c r="H478" s="1" t="str">
        <f>IFNA(VLOOKUP(TRIM(E478),Master!D:M,4,0),"")</f>
        <v>DC 33X33</v>
      </c>
      <c r="I478" s="4">
        <v>1.0</v>
      </c>
      <c r="J478" s="5">
        <f>IFNA(VLOOKUP(E478,Master!D:U,14,0),0)</f>
        <v>17000</v>
      </c>
      <c r="K478" s="5">
        <v>0.0</v>
      </c>
      <c r="L478" s="5">
        <f t="shared" si="3"/>
        <v>17000</v>
      </c>
      <c r="M478" s="5">
        <f>IFNA(VLOOKUP(TRIM(E478),Master!D:U,13,0),"")</f>
        <v>13000</v>
      </c>
      <c r="N478" s="5">
        <f t="shared" si="4"/>
        <v>4000</v>
      </c>
      <c r="O478" s="4" t="s">
        <v>19</v>
      </c>
      <c r="P478" s="5">
        <f t="shared" si="5"/>
        <v>23.52941176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3" t="s">
        <v>313</v>
      </c>
      <c r="B479" s="2"/>
      <c r="C479" s="14"/>
      <c r="D479" s="3"/>
      <c r="E479" s="1" t="s">
        <v>69</v>
      </c>
      <c r="F479" s="1" t="str">
        <f t="shared" si="1"/>
        <v>25/02/26MT2018</v>
      </c>
      <c r="G479" s="1" t="str">
        <f t="shared" si="2"/>
        <v>C25/02/26</v>
      </c>
      <c r="H479" s="1" t="str">
        <f>IFNA(VLOOKUP(TRIM(E479),Master!D:M,4,0),"")</f>
        <v>MOSS HITAM 5KG</v>
      </c>
      <c r="I479" s="16">
        <v>2.0</v>
      </c>
      <c r="J479" s="5">
        <f>IFNA(VLOOKUP(E479,Master!D:U,14,0),0)</f>
        <v>12000</v>
      </c>
      <c r="K479" s="5">
        <v>0.0</v>
      </c>
      <c r="L479" s="5">
        <f t="shared" si="3"/>
        <v>24000</v>
      </c>
      <c r="M479" s="5">
        <f>IFNA(VLOOKUP(TRIM(E479),Master!D:U,13,0),"")</f>
        <v>7500</v>
      </c>
      <c r="N479" s="5">
        <f t="shared" si="4"/>
        <v>9000</v>
      </c>
      <c r="O479" s="4" t="s">
        <v>19</v>
      </c>
      <c r="P479" s="5">
        <f t="shared" si="5"/>
        <v>37.5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3" t="s">
        <v>313</v>
      </c>
      <c r="B480" s="13" t="s">
        <v>320</v>
      </c>
      <c r="C480" s="14"/>
      <c r="D480" s="15">
        <v>1.0</v>
      </c>
      <c r="E480" s="20" t="s">
        <v>37</v>
      </c>
      <c r="F480" s="1" t="str">
        <f t="shared" si="1"/>
        <v>25/02/26MT2050</v>
      </c>
      <c r="G480" s="1" t="str">
        <f t="shared" si="2"/>
        <v>C25/02/26</v>
      </c>
      <c r="H480" s="1" t="str">
        <f>IFNA(VLOOKUP(TRIM(E480),Master!D:M,4,0),"")</f>
        <v>TANAH SUBUR 10KG BINTANG TANI</v>
      </c>
      <c r="I480" s="16">
        <v>5.0</v>
      </c>
      <c r="J480" s="5">
        <f>IFNA(VLOOKUP(E480,Master!D:U,14,0),0)</f>
        <v>10000</v>
      </c>
      <c r="K480" s="5">
        <v>0.0</v>
      </c>
      <c r="L480" s="5">
        <f t="shared" si="3"/>
        <v>50000</v>
      </c>
      <c r="M480" s="5">
        <f>IFNA(VLOOKUP(TRIM(E480),Master!D:U,13,0),"")</f>
        <v>6000</v>
      </c>
      <c r="N480" s="5">
        <f t="shared" si="4"/>
        <v>20000</v>
      </c>
      <c r="O480" s="4" t="s">
        <v>19</v>
      </c>
      <c r="P480" s="5">
        <f t="shared" si="5"/>
        <v>40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3" t="s">
        <v>313</v>
      </c>
      <c r="B481" s="13" t="s">
        <v>320</v>
      </c>
      <c r="C481" s="14"/>
      <c r="D481" s="15">
        <v>1.0</v>
      </c>
      <c r="E481" s="1" t="s">
        <v>45</v>
      </c>
      <c r="F481" s="1" t="str">
        <f t="shared" si="1"/>
        <v>25/02/26MT2008</v>
      </c>
      <c r="G481" s="1" t="str">
        <f t="shared" si="2"/>
        <v>C25/02/26</v>
      </c>
      <c r="H481" s="1" t="str">
        <f>IFNA(VLOOKUP(TRIM(E481),Master!D:M,4,0),"")</f>
        <v>COCOPEAT NON FERMENTASI 10KG</v>
      </c>
      <c r="I481" s="4">
        <v>1.0</v>
      </c>
      <c r="J481" s="5">
        <f>IFNA(VLOOKUP(E481,Master!D:U,14,0),0)</f>
        <v>10000</v>
      </c>
      <c r="K481" s="18">
        <v>-5000.0</v>
      </c>
      <c r="L481" s="5">
        <f t="shared" si="3"/>
        <v>15000</v>
      </c>
      <c r="M481" s="5">
        <f>IFNA(VLOOKUP(TRIM(E481),Master!D:U,13,0),"")</f>
        <v>6000</v>
      </c>
      <c r="N481" s="5">
        <f t="shared" si="4"/>
        <v>9000</v>
      </c>
      <c r="O481" s="4" t="s">
        <v>19</v>
      </c>
      <c r="P481" s="5">
        <f t="shared" si="5"/>
        <v>40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3" t="s">
        <v>313</v>
      </c>
      <c r="B482" s="2"/>
      <c r="C482" s="14"/>
      <c r="D482" s="3"/>
      <c r="E482" s="1" t="s">
        <v>18</v>
      </c>
      <c r="F482" s="1" t="str">
        <f t="shared" si="1"/>
        <v>25/02/26PK5043</v>
      </c>
      <c r="G482" s="1" t="str">
        <f t="shared" si="2"/>
        <v>C25/02/26</v>
      </c>
      <c r="H482" s="1" t="str">
        <f>IFNA(VLOOKUP(TRIM(E482),Master!D:M,4,0),"")</f>
        <v>PUPUK KAMBING 5KG</v>
      </c>
      <c r="I482" s="4">
        <v>1.0</v>
      </c>
      <c r="J482" s="5">
        <f>IFNA(VLOOKUP(E482,Master!D:U,14,0),0)</f>
        <v>15000</v>
      </c>
      <c r="K482" s="5">
        <v>0.0</v>
      </c>
      <c r="L482" s="5">
        <f t="shared" si="3"/>
        <v>15000</v>
      </c>
      <c r="M482" s="5">
        <f>IFNA(VLOOKUP(TRIM(E482),Master!D:U,13,0),"")</f>
        <v>8000</v>
      </c>
      <c r="N482" s="5">
        <f t="shared" si="4"/>
        <v>7000</v>
      </c>
      <c r="O482" s="4" t="s">
        <v>19</v>
      </c>
      <c r="P482" s="5">
        <f t="shared" si="5"/>
        <v>46.66666667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3" t="s">
        <v>313</v>
      </c>
      <c r="B483" s="2"/>
      <c r="C483" s="14"/>
      <c r="D483" s="3"/>
      <c r="E483" s="1" t="s">
        <v>248</v>
      </c>
      <c r="F483" s="1" t="str">
        <f t="shared" si="1"/>
        <v>25/02/26PK5032</v>
      </c>
      <c r="G483" s="1" t="str">
        <f t="shared" si="2"/>
        <v>C25/02/26</v>
      </c>
      <c r="H483" s="1" t="str">
        <f>IFNA(VLOOKUP(TRIM(E483),Master!D:M,4,0),"")</f>
        <v>PERANGSANG AKAR INFARM 100ML</v>
      </c>
      <c r="I483" s="4">
        <v>1.0</v>
      </c>
      <c r="J483" s="5">
        <f>IFNA(VLOOKUP(E483,Master!D:U,14,0),0)</f>
        <v>35000</v>
      </c>
      <c r="K483" s="5">
        <v>0.0</v>
      </c>
      <c r="L483" s="5">
        <f t="shared" si="3"/>
        <v>35000</v>
      </c>
      <c r="M483" s="5" t="str">
        <f>IFNA(VLOOKUP(TRIM(E483),Master!D:U,13,0),"")</f>
        <v/>
      </c>
      <c r="N483" s="5">
        <f t="shared" si="4"/>
        <v>35000</v>
      </c>
      <c r="O483" s="4" t="s">
        <v>19</v>
      </c>
      <c r="P483" s="5">
        <f t="shared" si="5"/>
        <v>100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3" t="s">
        <v>321</v>
      </c>
      <c r="B484" s="13" t="s">
        <v>322</v>
      </c>
      <c r="C484" s="14"/>
      <c r="D484" s="15">
        <v>1.0</v>
      </c>
      <c r="E484" s="20" t="s">
        <v>37</v>
      </c>
      <c r="F484" s="1" t="str">
        <f t="shared" si="1"/>
        <v>26/02/26MT2050</v>
      </c>
      <c r="G484" s="1" t="str">
        <f t="shared" si="2"/>
        <v>C26/02/26</v>
      </c>
      <c r="H484" s="1" t="str">
        <f>IFNA(VLOOKUP(TRIM(E484),Master!D:M,4,0),"")</f>
        <v>TANAH SUBUR 10KG BINTANG TANI</v>
      </c>
      <c r="I484" s="4">
        <v>1.0</v>
      </c>
      <c r="J484" s="5">
        <f>IFNA(VLOOKUP(E484,Master!D:U,14,0),0)</f>
        <v>10000</v>
      </c>
      <c r="K484" s="5">
        <v>0.0</v>
      </c>
      <c r="L484" s="5">
        <f t="shared" si="3"/>
        <v>10000</v>
      </c>
      <c r="M484" s="5">
        <f>IFNA(VLOOKUP(TRIM(E484),Master!D:U,13,0),"")</f>
        <v>6000</v>
      </c>
      <c r="N484" s="5">
        <f t="shared" si="4"/>
        <v>4000</v>
      </c>
      <c r="O484" s="4" t="s">
        <v>19</v>
      </c>
      <c r="P484" s="5">
        <f t="shared" si="5"/>
        <v>40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3" t="s">
        <v>321</v>
      </c>
      <c r="B485" s="2"/>
      <c r="C485" s="14"/>
      <c r="D485" s="3"/>
      <c r="E485" s="1" t="s">
        <v>138</v>
      </c>
      <c r="F485" s="1" t="str">
        <f t="shared" si="1"/>
        <v>26/02/26MT2042</v>
      </c>
      <c r="G485" s="1" t="str">
        <f t="shared" si="2"/>
        <v>C26/02/26</v>
      </c>
      <c r="H485" s="1" t="str">
        <f>IFNA(VLOOKUP(TRIM(E485),Master!D:M,4,0),"")</f>
        <v>SEKAM FERMENTASI 10KG</v>
      </c>
      <c r="I485" s="4">
        <v>1.0</v>
      </c>
      <c r="J485" s="5">
        <f>IFNA(VLOOKUP(E485,Master!D:U,14,0),0)</f>
        <v>12000</v>
      </c>
      <c r="K485" s="5">
        <v>0.0</v>
      </c>
      <c r="L485" s="5">
        <f t="shared" si="3"/>
        <v>12000</v>
      </c>
      <c r="M485" s="5">
        <f>IFNA(VLOOKUP(TRIM(E485),Master!D:U,13,0),"")</f>
        <v>6000</v>
      </c>
      <c r="N485" s="5">
        <f t="shared" si="4"/>
        <v>6000</v>
      </c>
      <c r="O485" s="4" t="s">
        <v>19</v>
      </c>
      <c r="P485" s="5">
        <f t="shared" si="5"/>
        <v>50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3" t="s">
        <v>321</v>
      </c>
      <c r="B486" s="2"/>
      <c r="C486" s="14"/>
      <c r="D486" s="3"/>
      <c r="E486" s="1" t="s">
        <v>18</v>
      </c>
      <c r="F486" s="1" t="str">
        <f t="shared" si="1"/>
        <v>26/02/26PK5043</v>
      </c>
      <c r="G486" s="1" t="str">
        <f t="shared" si="2"/>
        <v>C26/02/26</v>
      </c>
      <c r="H486" s="1" t="str">
        <f>IFNA(VLOOKUP(TRIM(E486),Master!D:M,4,0),"")</f>
        <v>PUPUK KAMBING 5KG</v>
      </c>
      <c r="I486" s="4">
        <v>1.0</v>
      </c>
      <c r="J486" s="5">
        <f>IFNA(VLOOKUP(E486,Master!D:U,14,0),0)</f>
        <v>15000</v>
      </c>
      <c r="K486" s="5">
        <v>0.0</v>
      </c>
      <c r="L486" s="5">
        <f t="shared" si="3"/>
        <v>15000</v>
      </c>
      <c r="M486" s="5">
        <f>IFNA(VLOOKUP(TRIM(E486),Master!D:U,13,0),"")</f>
        <v>8000</v>
      </c>
      <c r="N486" s="5">
        <f t="shared" si="4"/>
        <v>7000</v>
      </c>
      <c r="O486" s="4" t="s">
        <v>19</v>
      </c>
      <c r="P486" s="5">
        <f t="shared" si="5"/>
        <v>46.66666667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3" t="s">
        <v>321</v>
      </c>
      <c r="B487" s="2"/>
      <c r="C487" s="14"/>
      <c r="D487" s="3"/>
      <c r="E487" s="1" t="s">
        <v>91</v>
      </c>
      <c r="F487" s="1" t="str">
        <f t="shared" si="1"/>
        <v>26/02/26PK5048</v>
      </c>
      <c r="G487" s="1" t="str">
        <f t="shared" si="2"/>
        <v>C26/02/26</v>
      </c>
      <c r="H487" s="1" t="str">
        <f>IFNA(VLOOKUP(TRIM(E487),Master!D:M,4,0),"")</f>
        <v>PUPUK MUTIARA 161616 100GR RPK</v>
      </c>
      <c r="I487" s="16">
        <v>2.0</v>
      </c>
      <c r="J487" s="5">
        <f>IFNA(VLOOKUP(E487,Master!D:U,14,0),0)</f>
        <v>3000</v>
      </c>
      <c r="K487" s="18">
        <v>-4000.0</v>
      </c>
      <c r="L487" s="5">
        <f t="shared" si="3"/>
        <v>10000</v>
      </c>
      <c r="M487" s="5">
        <f>IFNA(VLOOKUP(TRIM(E487),Master!D:U,13,0),"")</f>
        <v>1900</v>
      </c>
      <c r="N487" s="5">
        <f t="shared" si="4"/>
        <v>6200</v>
      </c>
      <c r="O487" s="4" t="s">
        <v>19</v>
      </c>
      <c r="P487" s="5">
        <f t="shared" si="5"/>
        <v>36.66666667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3" t="s">
        <v>321</v>
      </c>
      <c r="B488" s="2"/>
      <c r="C488" s="14"/>
      <c r="D488" s="3"/>
      <c r="E488" s="17" t="s">
        <v>30</v>
      </c>
      <c r="F488" s="1" t="str">
        <f t="shared" si="1"/>
        <v>26/02/26PL3115</v>
      </c>
      <c r="G488" s="1" t="str">
        <f t="shared" si="2"/>
        <v>C26/02/26</v>
      </c>
      <c r="H488" s="1" t="str">
        <f>IFNA(VLOOKUP(TRIM(E488),Master!D:M,4,0),"")</f>
        <v>POLYBAG 40</v>
      </c>
      <c r="I488" s="16">
        <v>5.0</v>
      </c>
      <c r="J488" s="5">
        <f>IFNA(VLOOKUP(E488,Master!D:U,14,0),0)</f>
        <v>1000</v>
      </c>
      <c r="K488" s="5">
        <v>0.0</v>
      </c>
      <c r="L488" s="5">
        <f t="shared" si="3"/>
        <v>5000</v>
      </c>
      <c r="M488" s="5">
        <f>IFNA(VLOOKUP(TRIM(E488),Master!D:U,13,0),"")</f>
        <v>500</v>
      </c>
      <c r="N488" s="5">
        <f t="shared" si="4"/>
        <v>2500</v>
      </c>
      <c r="O488" s="4" t="s">
        <v>19</v>
      </c>
      <c r="P488" s="5">
        <f t="shared" si="5"/>
        <v>50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3" t="s">
        <v>321</v>
      </c>
      <c r="B489" s="13" t="s">
        <v>323</v>
      </c>
      <c r="C489" s="14"/>
      <c r="D489" s="15">
        <v>1.0</v>
      </c>
      <c r="E489" s="1" t="s">
        <v>289</v>
      </c>
      <c r="F489" s="1" t="str">
        <f t="shared" si="1"/>
        <v>26/02/26PS4025</v>
      </c>
      <c r="G489" s="1" t="str">
        <f t="shared" si="2"/>
        <v>O26/02/26</v>
      </c>
      <c r="H489" s="1" t="str">
        <f>IFNA(VLOOKUP(TRIM(E489),Master!D:M,4,0),"")</f>
        <v>REGENT 50ML</v>
      </c>
      <c r="I489" s="4">
        <v>1.0</v>
      </c>
      <c r="J489" s="5">
        <f>IFNA(VLOOKUP(E489,Master!D:U,14,0),0)</f>
        <v>35000</v>
      </c>
      <c r="K489" s="5">
        <v>0.0</v>
      </c>
      <c r="L489" s="5">
        <f t="shared" si="3"/>
        <v>35000</v>
      </c>
      <c r="M489" s="5">
        <f>IFNA(VLOOKUP(TRIM(E489),Master!D:U,13,0),"")</f>
        <v>24500</v>
      </c>
      <c r="N489" s="5">
        <f t="shared" si="4"/>
        <v>10500</v>
      </c>
      <c r="O489" s="16" t="s">
        <v>28</v>
      </c>
      <c r="P489" s="5">
        <f t="shared" si="5"/>
        <v>30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3" t="s">
        <v>321</v>
      </c>
      <c r="B490" s="2"/>
      <c r="C490" s="14"/>
      <c r="D490" s="3"/>
      <c r="E490" s="1" t="s">
        <v>324</v>
      </c>
      <c r="F490" s="1" t="str">
        <f t="shared" si="1"/>
        <v>26/02/26PL3054</v>
      </c>
      <c r="G490" s="1" t="str">
        <f t="shared" si="2"/>
        <v>O26/02/26</v>
      </c>
      <c r="H490" s="1" t="str">
        <f>IFNA(VLOOKUP(TRIM(E490),Master!D:M,4,0),"")</f>
        <v>KAWAT BONSAI SILVER NO.6 ECERAN</v>
      </c>
      <c r="I490" s="16">
        <v>3.0</v>
      </c>
      <c r="J490" s="5">
        <f>IFNA(VLOOKUP(E490,Master!D:U,14,0),0)</f>
        <v>10000</v>
      </c>
      <c r="K490" s="5">
        <v>0.0</v>
      </c>
      <c r="L490" s="5">
        <f t="shared" si="3"/>
        <v>30000</v>
      </c>
      <c r="M490" s="5">
        <f>IFNA(VLOOKUP(TRIM(E490),Master!D:U,13,0),"")</f>
        <v>8000</v>
      </c>
      <c r="N490" s="5">
        <f t="shared" si="4"/>
        <v>6000</v>
      </c>
      <c r="O490" s="16" t="s">
        <v>28</v>
      </c>
      <c r="P490" s="5">
        <f t="shared" si="5"/>
        <v>20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3" t="s">
        <v>321</v>
      </c>
      <c r="B491" s="2"/>
      <c r="C491" s="14"/>
      <c r="D491" s="3"/>
      <c r="E491" s="1" t="s">
        <v>115</v>
      </c>
      <c r="F491" s="1" t="str">
        <f t="shared" si="1"/>
        <v>26/02/26MT2022</v>
      </c>
      <c r="G491" s="1" t="str">
        <f t="shared" si="2"/>
        <v>I26/02/26</v>
      </c>
      <c r="H491" s="1" t="str">
        <f>IFNA(VLOOKUP(TRIM(E491),Master!D:M,4,0),"")</f>
        <v>PASIR MALANG 10KG</v>
      </c>
      <c r="I491" s="4">
        <v>1.0</v>
      </c>
      <c r="J491" s="5">
        <f>IFNA(VLOOKUP(E491,Master!D:U,14,0),0)</f>
        <v>15000</v>
      </c>
      <c r="K491" s="5">
        <v>0.0</v>
      </c>
      <c r="L491" s="5">
        <f t="shared" si="3"/>
        <v>15000</v>
      </c>
      <c r="M491" s="5">
        <f>IFNA(VLOOKUP(TRIM(E491),Master!D:U,13,0),"")</f>
        <v>8000</v>
      </c>
      <c r="N491" s="5">
        <f t="shared" si="4"/>
        <v>7000</v>
      </c>
      <c r="O491" s="16" t="s">
        <v>23</v>
      </c>
      <c r="P491" s="5">
        <f t="shared" si="5"/>
        <v>46.66666667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3" t="s">
        <v>321</v>
      </c>
      <c r="B492" s="2"/>
      <c r="C492" s="14"/>
      <c r="D492" s="3"/>
      <c r="E492" s="1" t="s">
        <v>33</v>
      </c>
      <c r="F492" s="1" t="str">
        <f t="shared" si="1"/>
        <v>26/02/26PL3040</v>
      </c>
      <c r="G492" s="1" t="str">
        <f t="shared" si="2"/>
        <v>O26/02/26</v>
      </c>
      <c r="H492" s="1" t="str">
        <f>IFNA(VLOOKUP(TRIM(E492),Master!D:M,4,0),"")</f>
        <v>KAWAT BONSAI SILVER NO.1.5 ECERAN</v>
      </c>
      <c r="I492" s="16">
        <v>6.0</v>
      </c>
      <c r="J492" s="5">
        <f>IFNA(VLOOKUP(E492,Master!D:U,14,0),0)</f>
        <v>750</v>
      </c>
      <c r="K492" s="5">
        <v>0.0</v>
      </c>
      <c r="L492" s="5">
        <f t="shared" si="3"/>
        <v>4500</v>
      </c>
      <c r="M492" s="5">
        <f>IFNA(VLOOKUP(TRIM(E492),Master!D:U,13,0),"")</f>
        <v>444</v>
      </c>
      <c r="N492" s="5">
        <f t="shared" si="4"/>
        <v>1836</v>
      </c>
      <c r="O492" s="16" t="s">
        <v>28</v>
      </c>
      <c r="P492" s="5">
        <f t="shared" si="5"/>
        <v>40.8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3" t="s">
        <v>321</v>
      </c>
      <c r="B493" s="2"/>
      <c r="C493" s="14"/>
      <c r="D493" s="3"/>
      <c r="E493" s="1" t="s">
        <v>33</v>
      </c>
      <c r="F493" s="1" t="str">
        <f t="shared" si="1"/>
        <v>26/02/26PL3040</v>
      </c>
      <c r="G493" s="1" t="str">
        <f t="shared" si="2"/>
        <v>O26/02/26</v>
      </c>
      <c r="H493" s="1" t="str">
        <f>IFNA(VLOOKUP(TRIM(E493),Master!D:M,4,0),"")</f>
        <v>KAWAT BONSAI SILVER NO.1.5 ECERAN</v>
      </c>
      <c r="I493" s="16">
        <v>5.0</v>
      </c>
      <c r="J493" s="5">
        <f>IFNA(VLOOKUP(E493,Master!D:U,14,0),0)</f>
        <v>750</v>
      </c>
      <c r="K493" s="5">
        <v>0.0</v>
      </c>
      <c r="L493" s="5">
        <f t="shared" si="3"/>
        <v>3750</v>
      </c>
      <c r="M493" s="5">
        <f>IFNA(VLOOKUP(TRIM(E493),Master!D:U,13,0),"")</f>
        <v>444</v>
      </c>
      <c r="N493" s="5">
        <f t="shared" si="4"/>
        <v>1530</v>
      </c>
      <c r="O493" s="16" t="s">
        <v>28</v>
      </c>
      <c r="P493" s="5">
        <f t="shared" si="5"/>
        <v>40.8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3" t="s">
        <v>321</v>
      </c>
      <c r="B494" s="2"/>
      <c r="C494" s="14"/>
      <c r="D494" s="3"/>
      <c r="E494" s="17" t="s">
        <v>43</v>
      </c>
      <c r="F494" s="1" t="str">
        <f t="shared" si="1"/>
        <v>26/02/26PL3044</v>
      </c>
      <c r="G494" s="1" t="str">
        <f t="shared" si="2"/>
        <v>O26/02/26</v>
      </c>
      <c r="H494" s="1" t="str">
        <f>IFNA(VLOOKUP(TRIM(E494),Master!D:M,4,0),"")</f>
        <v>KAWAT BONSAI SILVER NO.2.5 ECERAN</v>
      </c>
      <c r="I494" s="16">
        <v>12.0</v>
      </c>
      <c r="J494" s="5">
        <f>IFNA(VLOOKUP(E494,Master!D:U,14,0),0)</f>
        <v>2000</v>
      </c>
      <c r="K494" s="5">
        <v>0.0</v>
      </c>
      <c r="L494" s="5">
        <f t="shared" si="3"/>
        <v>24000</v>
      </c>
      <c r="M494" s="5">
        <f>IFNA(VLOOKUP(TRIM(E494),Master!D:U,13,0),"")</f>
        <v>1143</v>
      </c>
      <c r="N494" s="5">
        <f t="shared" si="4"/>
        <v>10284</v>
      </c>
      <c r="O494" s="16" t="s">
        <v>28</v>
      </c>
      <c r="P494" s="5">
        <f t="shared" si="5"/>
        <v>42.85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3" t="s">
        <v>321</v>
      </c>
      <c r="B495" s="2"/>
      <c r="C495" s="14"/>
      <c r="D495" s="3"/>
      <c r="E495" s="1" t="s">
        <v>33</v>
      </c>
      <c r="F495" s="1" t="str">
        <f t="shared" si="1"/>
        <v>26/02/26PL3040</v>
      </c>
      <c r="G495" s="1" t="str">
        <f t="shared" si="2"/>
        <v>O26/02/26</v>
      </c>
      <c r="H495" s="1" t="str">
        <f>IFNA(VLOOKUP(TRIM(E495),Master!D:M,4,0),"")</f>
        <v>KAWAT BONSAI SILVER NO.1.5 ECERAN</v>
      </c>
      <c r="I495" s="16">
        <v>10.0</v>
      </c>
      <c r="J495" s="5">
        <f>IFNA(VLOOKUP(E495,Master!D:U,14,0),0)</f>
        <v>750</v>
      </c>
      <c r="K495" s="5">
        <v>0.0</v>
      </c>
      <c r="L495" s="5">
        <f t="shared" si="3"/>
        <v>7500</v>
      </c>
      <c r="M495" s="5">
        <f>IFNA(VLOOKUP(TRIM(E495),Master!D:U,13,0),"")</f>
        <v>444</v>
      </c>
      <c r="N495" s="5">
        <f t="shared" si="4"/>
        <v>3060</v>
      </c>
      <c r="O495" s="16" t="s">
        <v>28</v>
      </c>
      <c r="P495" s="5">
        <f t="shared" si="5"/>
        <v>40.8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3" t="s">
        <v>321</v>
      </c>
      <c r="B496" s="13" t="s">
        <v>325</v>
      </c>
      <c r="C496" s="14"/>
      <c r="D496" s="15">
        <v>1.0</v>
      </c>
      <c r="E496" s="1" t="s">
        <v>34</v>
      </c>
      <c r="F496" s="1" t="str">
        <f t="shared" si="1"/>
        <v>26/02/26MT2053</v>
      </c>
      <c r="G496" s="1" t="str">
        <f t="shared" si="2"/>
        <v>T26/02/26</v>
      </c>
      <c r="H496" s="1" t="str">
        <f>IFNA(VLOOKUP(TRIM(E496),Master!D:M,4,0),"")</f>
        <v>TANAH SUBUR 25KG BINTANG TANI</v>
      </c>
      <c r="I496" s="16">
        <v>2.0</v>
      </c>
      <c r="J496" s="5">
        <f>IFNA(VLOOKUP(E496,Master!D:U,14,0),0)</f>
        <v>25000</v>
      </c>
      <c r="K496" s="5">
        <v>0.0</v>
      </c>
      <c r="L496" s="5">
        <f t="shared" si="3"/>
        <v>50000</v>
      </c>
      <c r="M496" s="5">
        <f>IFNA(VLOOKUP(TRIM(E496),Master!D:U,13,0),"")</f>
        <v>15000</v>
      </c>
      <c r="N496" s="5">
        <f t="shared" si="4"/>
        <v>20000</v>
      </c>
      <c r="O496" s="16" t="s">
        <v>77</v>
      </c>
      <c r="P496" s="5">
        <f t="shared" si="5"/>
        <v>40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3" t="s">
        <v>321</v>
      </c>
      <c r="B497" s="13" t="s">
        <v>326</v>
      </c>
      <c r="C497" s="14"/>
      <c r="D497" s="15">
        <v>1.0</v>
      </c>
      <c r="E497" s="1" t="s">
        <v>223</v>
      </c>
      <c r="F497" s="1" t="str">
        <f t="shared" si="1"/>
        <v>26/02/26PL3050</v>
      </c>
      <c r="G497" s="1" t="str">
        <f t="shared" si="2"/>
        <v>O26/02/26</v>
      </c>
      <c r="H497" s="1" t="str">
        <f>IFNA(VLOOKUP(TRIM(E497),Master!D:M,4,0),"")</f>
        <v>KAWAT BONSAI SILVER NO.4 ECERAN</v>
      </c>
      <c r="I497" s="16">
        <v>2.0</v>
      </c>
      <c r="J497" s="5">
        <f>IFNA(VLOOKUP(E497,Master!D:U,14,0),0)</f>
        <v>5000</v>
      </c>
      <c r="K497" s="5">
        <v>0.0</v>
      </c>
      <c r="L497" s="5">
        <f t="shared" si="3"/>
        <v>10000</v>
      </c>
      <c r="M497" s="5">
        <f>IFNA(VLOOKUP(TRIM(E497),Master!D:U,13,0),"")</f>
        <v>4000</v>
      </c>
      <c r="N497" s="5">
        <f t="shared" si="4"/>
        <v>2000</v>
      </c>
      <c r="O497" s="16" t="s">
        <v>28</v>
      </c>
      <c r="P497" s="5">
        <f t="shared" si="5"/>
        <v>20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3" t="s">
        <v>321</v>
      </c>
      <c r="B498" s="13" t="s">
        <v>327</v>
      </c>
      <c r="C498" s="14"/>
      <c r="D498" s="15">
        <v>1.0</v>
      </c>
      <c r="E498" s="17" t="s">
        <v>42</v>
      </c>
      <c r="F498" s="1" t="str">
        <f t="shared" si="1"/>
        <v>26/02/26PL3042</v>
      </c>
      <c r="G498" s="1" t="str">
        <f t="shared" si="2"/>
        <v>C26/02/26</v>
      </c>
      <c r="H498" s="1" t="str">
        <f>IFNA(VLOOKUP(TRIM(E498),Master!D:M,4,0),"")</f>
        <v>KAWAT BONSAI SILVER NO.2 ECERAN</v>
      </c>
      <c r="I498" s="16">
        <v>10.0</v>
      </c>
      <c r="J498" s="5">
        <f>IFNA(VLOOKUP(E498,Master!D:U,14,0),0)</f>
        <v>1500</v>
      </c>
      <c r="K498" s="5">
        <v>0.0</v>
      </c>
      <c r="L498" s="5">
        <f t="shared" si="3"/>
        <v>15000</v>
      </c>
      <c r="M498" s="5">
        <f>IFNA(VLOOKUP(TRIM(E498),Master!D:U,13,0),"")</f>
        <v>800</v>
      </c>
      <c r="N498" s="5">
        <f t="shared" si="4"/>
        <v>7000</v>
      </c>
      <c r="O498" s="4" t="s">
        <v>19</v>
      </c>
      <c r="P498" s="5">
        <f t="shared" si="5"/>
        <v>46.66666667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3" t="s">
        <v>321</v>
      </c>
      <c r="B499" s="13" t="s">
        <v>327</v>
      </c>
      <c r="C499" s="14"/>
      <c r="D499" s="15">
        <v>1.0</v>
      </c>
      <c r="E499" s="20" t="s">
        <v>37</v>
      </c>
      <c r="F499" s="1" t="str">
        <f t="shared" si="1"/>
        <v>26/02/26MT2050</v>
      </c>
      <c r="G499" s="1" t="str">
        <f t="shared" si="2"/>
        <v>C26/02/26</v>
      </c>
      <c r="H499" s="1" t="str">
        <f>IFNA(VLOOKUP(TRIM(E499),Master!D:M,4,0),"")</f>
        <v>TANAH SUBUR 10KG BINTANG TANI</v>
      </c>
      <c r="I499" s="4">
        <v>1.0</v>
      </c>
      <c r="J499" s="5">
        <f>IFNA(VLOOKUP(E499,Master!D:U,14,0),0)</f>
        <v>10000</v>
      </c>
      <c r="K499" s="5">
        <v>0.0</v>
      </c>
      <c r="L499" s="5">
        <f t="shared" si="3"/>
        <v>10000</v>
      </c>
      <c r="M499" s="5">
        <f>IFNA(VLOOKUP(TRIM(E499),Master!D:U,13,0),"")</f>
        <v>6000</v>
      </c>
      <c r="N499" s="5">
        <f t="shared" si="4"/>
        <v>4000</v>
      </c>
      <c r="O499" s="4" t="s">
        <v>19</v>
      </c>
      <c r="P499" s="5">
        <f t="shared" si="5"/>
        <v>40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3" t="s">
        <v>321</v>
      </c>
      <c r="B500" s="2"/>
      <c r="C500" s="14"/>
      <c r="D500" s="3"/>
      <c r="E500" s="1" t="s">
        <v>22</v>
      </c>
      <c r="F500" s="1" t="str">
        <f t="shared" si="1"/>
        <v>26/02/26MT2037</v>
      </c>
      <c r="G500" s="1" t="str">
        <f t="shared" si="2"/>
        <v>C26/02/26</v>
      </c>
      <c r="H500" s="1" t="str">
        <f>IFNA(VLOOKUP(TRIM(E500),Master!D:M,4,0),"")</f>
        <v>PUPUK KOMPOS 5KG</v>
      </c>
      <c r="I500" s="4">
        <v>1.0</v>
      </c>
      <c r="J500" s="5">
        <f>IFNA(VLOOKUP(E500,Master!D:U,14,0),0)</f>
        <v>10000</v>
      </c>
      <c r="K500" s="5">
        <v>0.0</v>
      </c>
      <c r="L500" s="5">
        <f t="shared" si="3"/>
        <v>10000</v>
      </c>
      <c r="M500" s="5">
        <f>IFNA(VLOOKUP(TRIM(E500),Master!D:U,13,0),"")</f>
        <v>5000</v>
      </c>
      <c r="N500" s="5">
        <f t="shared" si="4"/>
        <v>5000</v>
      </c>
      <c r="O500" s="4" t="s">
        <v>19</v>
      </c>
      <c r="P500" s="5">
        <f t="shared" si="5"/>
        <v>50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3" t="s">
        <v>328</v>
      </c>
      <c r="B501" s="13" t="s">
        <v>329</v>
      </c>
      <c r="C501" s="14"/>
      <c r="D501" s="15">
        <v>1.0</v>
      </c>
      <c r="E501" s="1" t="s">
        <v>289</v>
      </c>
      <c r="F501" s="1" t="str">
        <f t="shared" si="1"/>
        <v>27/02/26PS4025</v>
      </c>
      <c r="G501" s="1" t="str">
        <f t="shared" si="2"/>
        <v>I27/02/26</v>
      </c>
      <c r="H501" s="1" t="str">
        <f>IFNA(VLOOKUP(TRIM(E501),Master!D:M,4,0),"")</f>
        <v>REGENT 50ML</v>
      </c>
      <c r="I501" s="16">
        <v>2.0</v>
      </c>
      <c r="J501" s="5">
        <f>IFNA(VLOOKUP(E501,Master!D:U,14,0),0)</f>
        <v>35000</v>
      </c>
      <c r="K501" s="5">
        <v>0.0</v>
      </c>
      <c r="L501" s="5">
        <f t="shared" si="3"/>
        <v>70000</v>
      </c>
      <c r="M501" s="5">
        <f>IFNA(VLOOKUP(TRIM(E501),Master!D:U,13,0),"")</f>
        <v>24500</v>
      </c>
      <c r="N501" s="5">
        <f t="shared" si="4"/>
        <v>21000</v>
      </c>
      <c r="O501" s="16" t="s">
        <v>23</v>
      </c>
      <c r="P501" s="5">
        <f t="shared" si="5"/>
        <v>30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3" t="s">
        <v>328</v>
      </c>
      <c r="B502" s="13" t="s">
        <v>330</v>
      </c>
      <c r="C502" s="14"/>
      <c r="D502" s="15">
        <v>1.0</v>
      </c>
      <c r="E502" s="20" t="s">
        <v>331</v>
      </c>
      <c r="F502" s="1" t="str">
        <f t="shared" si="1"/>
        <v>27/02/26MT2001</v>
      </c>
      <c r="G502" s="1" t="str">
        <f t="shared" si="2"/>
        <v>C27/02/26</v>
      </c>
      <c r="H502" s="1" t="str">
        <f>IFNA(VLOOKUP(TRIM(E502),Master!D:M,4,0),"")</f>
        <v>ANDAM</v>
      </c>
      <c r="I502" s="4">
        <v>1.0</v>
      </c>
      <c r="J502" s="5">
        <f>IFNA(VLOOKUP(E502,Master!D:U,14,0),0)</f>
        <v>15000</v>
      </c>
      <c r="K502" s="5">
        <v>0.0</v>
      </c>
      <c r="L502" s="5">
        <f t="shared" si="3"/>
        <v>15000</v>
      </c>
      <c r="M502" s="5">
        <f>IFNA(VLOOKUP(TRIM(E502),Master!D:U,13,0),"")</f>
        <v>7142.857143</v>
      </c>
      <c r="N502" s="5">
        <f t="shared" si="4"/>
        <v>7857.142857</v>
      </c>
      <c r="O502" s="4" t="s">
        <v>19</v>
      </c>
      <c r="P502" s="5">
        <f t="shared" si="5"/>
        <v>52.38095238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3" t="s">
        <v>328</v>
      </c>
      <c r="B503" s="13" t="s">
        <v>330</v>
      </c>
      <c r="C503" s="14"/>
      <c r="D503" s="15">
        <v>1.0</v>
      </c>
      <c r="E503" s="20" t="s">
        <v>78</v>
      </c>
      <c r="F503" s="1" t="str">
        <f t="shared" si="1"/>
        <v>27/02/26MT2003</v>
      </c>
      <c r="G503" s="1" t="str">
        <f t="shared" si="2"/>
        <v>C27/02/26</v>
      </c>
      <c r="H503" s="1" t="str">
        <f>IFNA(VLOOKUP(TRIM(E503),Master!D:M,4,0),"")</f>
        <v>ARANG 5KG</v>
      </c>
      <c r="I503" s="4">
        <v>1.0</v>
      </c>
      <c r="J503" s="5">
        <f>IFNA(VLOOKUP(E503,Master!D:U,14,0),0)</f>
        <v>15000</v>
      </c>
      <c r="K503" s="5">
        <v>0.0</v>
      </c>
      <c r="L503" s="5">
        <f t="shared" si="3"/>
        <v>15000</v>
      </c>
      <c r="M503" s="5">
        <f>IFNA(VLOOKUP(TRIM(E503),Master!D:U,13,0),"")</f>
        <v>8000</v>
      </c>
      <c r="N503" s="5">
        <f t="shared" si="4"/>
        <v>7000</v>
      </c>
      <c r="O503" s="4" t="s">
        <v>19</v>
      </c>
      <c r="P503" s="5">
        <f t="shared" si="5"/>
        <v>46.66666667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3" t="s">
        <v>328</v>
      </c>
      <c r="B504" s="2"/>
      <c r="C504" s="14"/>
      <c r="D504" s="3"/>
      <c r="E504" s="1" t="s">
        <v>332</v>
      </c>
      <c r="F504" s="1" t="str">
        <f t="shared" si="1"/>
        <v>27/02/26PL3128</v>
      </c>
      <c r="G504" s="1" t="str">
        <f t="shared" si="2"/>
        <v>C27/02/26</v>
      </c>
      <c r="H504" s="1" t="str">
        <f>IFNA(VLOOKUP(TRIM(E504),Master!D:M,4,0),"")</f>
        <v>POT ANGGREK HITAM 16</v>
      </c>
      <c r="I504" s="16">
        <v>2.0</v>
      </c>
      <c r="J504" s="5">
        <f>IFNA(VLOOKUP(E504,Master!D:U,14,0),0)</f>
        <v>5000</v>
      </c>
      <c r="K504" s="5">
        <v>0.0</v>
      </c>
      <c r="L504" s="5">
        <f t="shared" si="3"/>
        <v>10000</v>
      </c>
      <c r="M504" s="5">
        <f>IFNA(VLOOKUP(TRIM(E504),Master!D:U,13,0),"")</f>
        <v>3375</v>
      </c>
      <c r="N504" s="5">
        <f t="shared" si="4"/>
        <v>3250</v>
      </c>
      <c r="O504" s="4" t="s">
        <v>19</v>
      </c>
      <c r="P504" s="5">
        <f t="shared" si="5"/>
        <v>32.5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3" t="s">
        <v>328</v>
      </c>
      <c r="B505" s="2"/>
      <c r="C505" s="14"/>
      <c r="D505" s="3"/>
      <c r="E505" s="1" t="s">
        <v>333</v>
      </c>
      <c r="F505" s="1" t="str">
        <f t="shared" si="1"/>
        <v>27/02/26PL3092</v>
      </c>
      <c r="G505" s="1" t="str">
        <f t="shared" si="2"/>
        <v>C27/02/26</v>
      </c>
      <c r="H505" s="1" t="str">
        <f>IFNA(VLOOKUP(TRIM(E505),Master!D:M,4,0),"")</f>
        <v>SPRAYER JET SPRAY ASENA 500ML</v>
      </c>
      <c r="I505" s="4">
        <v>1.0</v>
      </c>
      <c r="J505" s="5">
        <f>IFNA(VLOOKUP(E505,Master!D:U,14,0),0)</f>
        <v>14000</v>
      </c>
      <c r="K505" s="5">
        <v>0.0</v>
      </c>
      <c r="L505" s="5">
        <f t="shared" si="3"/>
        <v>14000</v>
      </c>
      <c r="M505" s="5">
        <f>IFNA(VLOOKUP(TRIM(E505),Master!D:U,13,0),"")</f>
        <v>8500</v>
      </c>
      <c r="N505" s="5">
        <f t="shared" si="4"/>
        <v>5500</v>
      </c>
      <c r="O505" s="4" t="s">
        <v>19</v>
      </c>
      <c r="P505" s="5">
        <f t="shared" si="5"/>
        <v>39.28571429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3" t="s">
        <v>328</v>
      </c>
      <c r="B506" s="2"/>
      <c r="C506" s="14"/>
      <c r="D506" s="3"/>
      <c r="E506" s="1" t="s">
        <v>213</v>
      </c>
      <c r="F506" s="1" t="str">
        <f t="shared" si="1"/>
        <v>27/02/26PK5070</v>
      </c>
      <c r="G506" s="1" t="str">
        <f t="shared" si="2"/>
        <v>C27/02/26</v>
      </c>
      <c r="H506" s="1" t="str">
        <f>IFNA(VLOOKUP(TRIM(E506),Master!D:M,4,0),"")</f>
        <v>VITAMIN B1 100ML</v>
      </c>
      <c r="I506" s="4">
        <v>1.0</v>
      </c>
      <c r="J506" s="5">
        <f>IFNA(VLOOKUP(E506,Master!D:U,14,0),0)</f>
        <v>20000</v>
      </c>
      <c r="K506" s="5">
        <v>0.0</v>
      </c>
      <c r="L506" s="5">
        <f t="shared" si="3"/>
        <v>20000</v>
      </c>
      <c r="M506" s="5">
        <f>IFNA(VLOOKUP(TRIM(E506),Master!D:U,13,0),"")</f>
        <v>9300</v>
      </c>
      <c r="N506" s="5">
        <f t="shared" si="4"/>
        <v>10700</v>
      </c>
      <c r="O506" s="4" t="s">
        <v>19</v>
      </c>
      <c r="P506" s="5">
        <f t="shared" si="5"/>
        <v>53.5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3" t="s">
        <v>328</v>
      </c>
      <c r="B507" s="13" t="s">
        <v>334</v>
      </c>
      <c r="C507" s="14"/>
      <c r="D507" s="15">
        <v>1.0</v>
      </c>
      <c r="E507" s="1" t="s">
        <v>115</v>
      </c>
      <c r="F507" s="1" t="str">
        <f t="shared" si="1"/>
        <v>27/02/26MT2022</v>
      </c>
      <c r="G507" s="1" t="str">
        <f t="shared" si="2"/>
        <v>C27/02/26</v>
      </c>
      <c r="H507" s="1" t="str">
        <f>IFNA(VLOOKUP(TRIM(E507),Master!D:M,4,0),"")</f>
        <v>PASIR MALANG 10KG</v>
      </c>
      <c r="I507" s="4">
        <v>1.0</v>
      </c>
      <c r="J507" s="5">
        <f>IFNA(VLOOKUP(E507,Master!D:U,14,0),0)</f>
        <v>15000</v>
      </c>
      <c r="K507" s="5">
        <v>0.0</v>
      </c>
      <c r="L507" s="5">
        <f t="shared" si="3"/>
        <v>15000</v>
      </c>
      <c r="M507" s="5">
        <f>IFNA(VLOOKUP(TRIM(E507),Master!D:U,13,0),"")</f>
        <v>8000</v>
      </c>
      <c r="N507" s="5">
        <f t="shared" si="4"/>
        <v>7000</v>
      </c>
      <c r="O507" s="4" t="s">
        <v>19</v>
      </c>
      <c r="P507" s="5">
        <f t="shared" si="5"/>
        <v>46.66666667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3" t="s">
        <v>328</v>
      </c>
      <c r="B508" s="13" t="s">
        <v>335</v>
      </c>
      <c r="C508" s="14"/>
      <c r="D508" s="15">
        <v>1.0</v>
      </c>
      <c r="E508" s="1" t="s">
        <v>289</v>
      </c>
      <c r="F508" s="1" t="str">
        <f t="shared" si="1"/>
        <v>27/02/26PS4025</v>
      </c>
      <c r="G508" s="1" t="str">
        <f t="shared" si="2"/>
        <v>C27/02/26</v>
      </c>
      <c r="H508" s="1" t="str">
        <f>IFNA(VLOOKUP(TRIM(E508),Master!D:M,4,0),"")</f>
        <v>REGENT 50ML</v>
      </c>
      <c r="I508" s="4">
        <v>1.0</v>
      </c>
      <c r="J508" s="5">
        <f>IFNA(VLOOKUP(E508,Master!D:U,14,0),0)</f>
        <v>35000</v>
      </c>
      <c r="K508" s="5">
        <v>0.0</v>
      </c>
      <c r="L508" s="5">
        <f t="shared" si="3"/>
        <v>35000</v>
      </c>
      <c r="M508" s="5">
        <f>IFNA(VLOOKUP(TRIM(E508),Master!D:U,13,0),"")</f>
        <v>24500</v>
      </c>
      <c r="N508" s="5">
        <f t="shared" si="4"/>
        <v>10500</v>
      </c>
      <c r="O508" s="4" t="s">
        <v>19</v>
      </c>
      <c r="P508" s="5">
        <f t="shared" si="5"/>
        <v>30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3" t="s">
        <v>328</v>
      </c>
      <c r="B509" s="13" t="s">
        <v>335</v>
      </c>
      <c r="C509" s="14"/>
      <c r="D509" s="15">
        <v>1.0</v>
      </c>
      <c r="E509" s="20" t="s">
        <v>37</v>
      </c>
      <c r="F509" s="1" t="str">
        <f t="shared" si="1"/>
        <v>27/02/26MT2050</v>
      </c>
      <c r="G509" s="1" t="str">
        <f t="shared" si="2"/>
        <v>C27/02/26</v>
      </c>
      <c r="H509" s="1" t="str">
        <f>IFNA(VLOOKUP(TRIM(E509),Master!D:M,4,0),"")</f>
        <v>TANAH SUBUR 10KG BINTANG TANI</v>
      </c>
      <c r="I509" s="4">
        <v>1.0</v>
      </c>
      <c r="J509" s="5">
        <f>IFNA(VLOOKUP(E509,Master!D:U,14,0),0)</f>
        <v>10000</v>
      </c>
      <c r="K509" s="5">
        <v>0.0</v>
      </c>
      <c r="L509" s="5">
        <f t="shared" si="3"/>
        <v>10000</v>
      </c>
      <c r="M509" s="5">
        <f>IFNA(VLOOKUP(TRIM(E509),Master!D:U,13,0),"")</f>
        <v>6000</v>
      </c>
      <c r="N509" s="5">
        <f t="shared" si="4"/>
        <v>4000</v>
      </c>
      <c r="O509" s="4" t="s">
        <v>19</v>
      </c>
      <c r="P509" s="5">
        <f t="shared" si="5"/>
        <v>40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3" t="s">
        <v>328</v>
      </c>
      <c r="B510" s="13" t="s">
        <v>336</v>
      </c>
      <c r="C510" s="14"/>
      <c r="D510" s="15">
        <v>1.0</v>
      </c>
      <c r="E510" s="1" t="s">
        <v>34</v>
      </c>
      <c r="F510" s="1" t="str">
        <f t="shared" si="1"/>
        <v>27/02/26MT2053</v>
      </c>
      <c r="G510" s="1" t="str">
        <f t="shared" si="2"/>
        <v>C27/02/26</v>
      </c>
      <c r="H510" s="1" t="str">
        <f>IFNA(VLOOKUP(TRIM(E510),Master!D:M,4,0),"")</f>
        <v>TANAH SUBUR 25KG BINTANG TANI</v>
      </c>
      <c r="I510" s="4">
        <v>1.0</v>
      </c>
      <c r="J510" s="5">
        <f>IFNA(VLOOKUP(E510,Master!D:U,14,0),0)</f>
        <v>25000</v>
      </c>
      <c r="K510" s="5">
        <v>0.0</v>
      </c>
      <c r="L510" s="5">
        <f t="shared" si="3"/>
        <v>25000</v>
      </c>
      <c r="M510" s="5">
        <f>IFNA(VLOOKUP(TRIM(E510),Master!D:U,13,0),"")</f>
        <v>15000</v>
      </c>
      <c r="N510" s="5">
        <f t="shared" si="4"/>
        <v>10000</v>
      </c>
      <c r="O510" s="4" t="s">
        <v>19</v>
      </c>
      <c r="P510" s="5">
        <f t="shared" si="5"/>
        <v>40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3" t="s">
        <v>328</v>
      </c>
      <c r="B511" s="2"/>
      <c r="C511" s="14"/>
      <c r="D511" s="3"/>
      <c r="E511" s="1" t="s">
        <v>232</v>
      </c>
      <c r="F511" s="1" t="str">
        <f t="shared" si="1"/>
        <v>27/02/26PL3160</v>
      </c>
      <c r="G511" s="1" t="str">
        <f t="shared" si="2"/>
        <v>C27/02/26</v>
      </c>
      <c r="H511" s="1" t="str">
        <f>IFNA(VLOOKUP(TRIM(E511),Master!D:M,4,0),"")</f>
        <v>POT GMP HITAM 25 POLOS</v>
      </c>
      <c r="I511" s="16">
        <v>3.0</v>
      </c>
      <c r="J511" s="5">
        <f>IFNA(VLOOKUP(E511,Master!D:U,14,0),0)</f>
        <v>5500</v>
      </c>
      <c r="K511" s="18">
        <v>1500.0</v>
      </c>
      <c r="L511" s="5">
        <f t="shared" si="3"/>
        <v>15000</v>
      </c>
      <c r="M511" s="5">
        <f>IFNA(VLOOKUP(TRIM(E511),Master!D:U,13,0),"")</f>
        <v>3750</v>
      </c>
      <c r="N511" s="5">
        <f t="shared" si="4"/>
        <v>3750</v>
      </c>
      <c r="O511" s="4" t="s">
        <v>19</v>
      </c>
      <c r="P511" s="5">
        <f t="shared" si="5"/>
        <v>31.81818182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3" t="s">
        <v>328</v>
      </c>
      <c r="B512" s="13" t="s">
        <v>113</v>
      </c>
      <c r="C512" s="14"/>
      <c r="D512" s="15">
        <v>1.0</v>
      </c>
      <c r="E512" s="20" t="s">
        <v>37</v>
      </c>
      <c r="F512" s="1" t="str">
        <f t="shared" si="1"/>
        <v>27/02/26MT2050</v>
      </c>
      <c r="G512" s="1" t="str">
        <f t="shared" si="2"/>
        <v>C27/02/26</v>
      </c>
      <c r="H512" s="1" t="str">
        <f>IFNA(VLOOKUP(TRIM(E512),Master!D:M,4,0),"")</f>
        <v>TANAH SUBUR 10KG BINTANG TANI</v>
      </c>
      <c r="I512" s="16">
        <v>2.0</v>
      </c>
      <c r="J512" s="5">
        <f>IFNA(VLOOKUP(E512,Master!D:U,14,0),0)</f>
        <v>10000</v>
      </c>
      <c r="K512" s="5">
        <v>0.0</v>
      </c>
      <c r="L512" s="5">
        <f t="shared" si="3"/>
        <v>20000</v>
      </c>
      <c r="M512" s="5">
        <f>IFNA(VLOOKUP(TRIM(E512),Master!D:U,13,0),"")</f>
        <v>6000</v>
      </c>
      <c r="N512" s="5">
        <f t="shared" si="4"/>
        <v>8000</v>
      </c>
      <c r="O512" s="4" t="s">
        <v>19</v>
      </c>
      <c r="P512" s="5">
        <f t="shared" si="5"/>
        <v>40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3" t="s">
        <v>328</v>
      </c>
      <c r="B513" s="13" t="s">
        <v>113</v>
      </c>
      <c r="C513" s="14"/>
      <c r="D513" s="15">
        <v>1.0</v>
      </c>
      <c r="E513" s="20" t="s">
        <v>37</v>
      </c>
      <c r="F513" s="1" t="str">
        <f t="shared" si="1"/>
        <v>27/02/26MT2050</v>
      </c>
      <c r="G513" s="1" t="str">
        <f t="shared" si="2"/>
        <v>C27/02/26</v>
      </c>
      <c r="H513" s="1" t="str">
        <f>IFNA(VLOOKUP(TRIM(E513),Master!D:M,4,0),"")</f>
        <v>TANAH SUBUR 10KG BINTANG TANI</v>
      </c>
      <c r="I513" s="4">
        <v>1.0</v>
      </c>
      <c r="J513" s="5">
        <f>IFNA(VLOOKUP(E513,Master!D:U,14,0),0)</f>
        <v>10000</v>
      </c>
      <c r="K513" s="5">
        <v>0.0</v>
      </c>
      <c r="L513" s="5">
        <f t="shared" si="3"/>
        <v>10000</v>
      </c>
      <c r="M513" s="5">
        <f>IFNA(VLOOKUP(TRIM(E513),Master!D:U,13,0),"")</f>
        <v>6000</v>
      </c>
      <c r="N513" s="5">
        <f t="shared" si="4"/>
        <v>4000</v>
      </c>
      <c r="O513" s="4" t="s">
        <v>19</v>
      </c>
      <c r="P513" s="5">
        <f t="shared" si="5"/>
        <v>40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3" t="s">
        <v>328</v>
      </c>
      <c r="B514" s="2"/>
      <c r="C514" s="14"/>
      <c r="D514" s="3"/>
      <c r="E514" s="1" t="s">
        <v>115</v>
      </c>
      <c r="F514" s="1" t="str">
        <f t="shared" si="1"/>
        <v>27/02/26MT2022</v>
      </c>
      <c r="G514" s="1" t="str">
        <f t="shared" si="2"/>
        <v>C27/02/26</v>
      </c>
      <c r="H514" s="1" t="str">
        <f>IFNA(VLOOKUP(TRIM(E514),Master!D:M,4,0),"")</f>
        <v>PASIR MALANG 10KG</v>
      </c>
      <c r="I514" s="4">
        <v>1.0</v>
      </c>
      <c r="J514" s="5">
        <f>IFNA(VLOOKUP(E514,Master!D:U,14,0),0)</f>
        <v>15000</v>
      </c>
      <c r="K514" s="5">
        <v>0.0</v>
      </c>
      <c r="L514" s="5">
        <f t="shared" si="3"/>
        <v>15000</v>
      </c>
      <c r="M514" s="5">
        <f>IFNA(VLOOKUP(TRIM(E514),Master!D:U,13,0),"")</f>
        <v>8000</v>
      </c>
      <c r="N514" s="5">
        <f t="shared" si="4"/>
        <v>7000</v>
      </c>
      <c r="O514" s="4" t="s">
        <v>19</v>
      </c>
      <c r="P514" s="5">
        <f t="shared" si="5"/>
        <v>46.66666667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3" t="s">
        <v>328</v>
      </c>
      <c r="B515" s="2"/>
      <c r="C515" s="14"/>
      <c r="D515" s="3"/>
      <c r="E515" s="1" t="s">
        <v>46</v>
      </c>
      <c r="F515" s="1" t="str">
        <f t="shared" si="1"/>
        <v>27/02/26MT2044</v>
      </c>
      <c r="G515" s="1" t="str">
        <f t="shared" si="2"/>
        <v>C27/02/26</v>
      </c>
      <c r="H515" s="1" t="str">
        <f>IFNA(VLOOKUP(TRIM(E515),Master!D:M,4,0),"")</f>
        <v>SEKAM MENTAH 10KG</v>
      </c>
      <c r="I515" s="4">
        <v>1.0</v>
      </c>
      <c r="J515" s="5">
        <f>IFNA(VLOOKUP(E515,Master!D:U,14,0),0)</f>
        <v>10000</v>
      </c>
      <c r="K515" s="5">
        <v>0.0</v>
      </c>
      <c r="L515" s="5">
        <f t="shared" si="3"/>
        <v>10000</v>
      </c>
      <c r="M515" s="5">
        <f>IFNA(VLOOKUP(TRIM(E515),Master!D:U,13,0),"")</f>
        <v>6000</v>
      </c>
      <c r="N515" s="5">
        <f t="shared" si="4"/>
        <v>4000</v>
      </c>
      <c r="O515" s="4" t="s">
        <v>19</v>
      </c>
      <c r="P515" s="5">
        <f t="shared" si="5"/>
        <v>40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3" t="s">
        <v>328</v>
      </c>
      <c r="B516" s="2"/>
      <c r="C516" s="14"/>
      <c r="D516" s="3"/>
      <c r="E516" s="1" t="s">
        <v>213</v>
      </c>
      <c r="F516" s="1" t="str">
        <f t="shared" si="1"/>
        <v>27/02/26PK5070</v>
      </c>
      <c r="G516" s="1" t="str">
        <f t="shared" si="2"/>
        <v>C27/02/26</v>
      </c>
      <c r="H516" s="1" t="str">
        <f>IFNA(VLOOKUP(TRIM(E516),Master!D:M,4,0),"")</f>
        <v>VITAMIN B1 100ML</v>
      </c>
      <c r="I516" s="4">
        <v>1.0</v>
      </c>
      <c r="J516" s="5">
        <f>IFNA(VLOOKUP(E516,Master!D:U,14,0),0)</f>
        <v>20000</v>
      </c>
      <c r="K516" s="5">
        <v>0.0</v>
      </c>
      <c r="L516" s="5">
        <f t="shared" si="3"/>
        <v>20000</v>
      </c>
      <c r="M516" s="5">
        <f>IFNA(VLOOKUP(TRIM(E516),Master!D:U,13,0),"")</f>
        <v>9300</v>
      </c>
      <c r="N516" s="5">
        <f t="shared" si="4"/>
        <v>10700</v>
      </c>
      <c r="O516" s="4" t="s">
        <v>19</v>
      </c>
      <c r="P516" s="5">
        <f t="shared" si="5"/>
        <v>53.5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3" t="s">
        <v>328</v>
      </c>
      <c r="B517" s="2"/>
      <c r="C517" s="14"/>
      <c r="D517" s="3"/>
      <c r="E517" s="1" t="s">
        <v>132</v>
      </c>
      <c r="F517" s="1" t="str">
        <f t="shared" si="1"/>
        <v>27/02/26PL3085</v>
      </c>
      <c r="G517" s="1" t="str">
        <f t="shared" si="2"/>
        <v>C27/02/26</v>
      </c>
      <c r="H517" s="1" t="str">
        <f>IFNA(VLOOKUP(TRIM(E517),Master!D:M,4,0),"")</f>
        <v>SALEP KAMBIUM 100ML</v>
      </c>
      <c r="I517" s="4">
        <v>1.0</v>
      </c>
      <c r="J517" s="5">
        <f>IFNA(VLOOKUP(E517,Master!D:U,14,0),0)</f>
        <v>35000</v>
      </c>
      <c r="K517" s="5">
        <v>0.0</v>
      </c>
      <c r="L517" s="5">
        <f t="shared" si="3"/>
        <v>35000</v>
      </c>
      <c r="M517" s="5">
        <f>IFNA(VLOOKUP(TRIM(E517),Master!D:U,13,0),"")</f>
        <v>16078</v>
      </c>
      <c r="N517" s="5">
        <f t="shared" si="4"/>
        <v>18922</v>
      </c>
      <c r="O517" s="4" t="s">
        <v>19</v>
      </c>
      <c r="P517" s="5">
        <f t="shared" si="5"/>
        <v>54.06285714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3" t="s">
        <v>328</v>
      </c>
      <c r="B518" s="13" t="s">
        <v>337</v>
      </c>
      <c r="C518" s="14"/>
      <c r="D518" s="15">
        <v>1.0</v>
      </c>
      <c r="E518" s="20" t="s">
        <v>37</v>
      </c>
      <c r="F518" s="1" t="str">
        <f t="shared" si="1"/>
        <v>27/02/26MT2050</v>
      </c>
      <c r="G518" s="1" t="str">
        <f t="shared" si="2"/>
        <v>C27/02/26</v>
      </c>
      <c r="H518" s="1" t="str">
        <f>IFNA(VLOOKUP(TRIM(E518),Master!D:M,4,0),"")</f>
        <v>TANAH SUBUR 10KG BINTANG TANI</v>
      </c>
      <c r="I518" s="4">
        <v>1.0</v>
      </c>
      <c r="J518" s="5">
        <f>IFNA(VLOOKUP(E518,Master!D:U,14,0),0)</f>
        <v>10000</v>
      </c>
      <c r="K518" s="5">
        <v>0.0</v>
      </c>
      <c r="L518" s="5">
        <f t="shared" si="3"/>
        <v>10000</v>
      </c>
      <c r="M518" s="5">
        <f>IFNA(VLOOKUP(TRIM(E518),Master!D:U,13,0),"")</f>
        <v>6000</v>
      </c>
      <c r="N518" s="5">
        <f t="shared" si="4"/>
        <v>4000</v>
      </c>
      <c r="O518" s="4" t="s">
        <v>19</v>
      </c>
      <c r="P518" s="5">
        <f t="shared" si="5"/>
        <v>40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3" t="s">
        <v>328</v>
      </c>
      <c r="B519" s="2"/>
      <c r="C519" s="14"/>
      <c r="D519" s="3"/>
      <c r="E519" s="1" t="s">
        <v>115</v>
      </c>
      <c r="F519" s="1" t="str">
        <f t="shared" si="1"/>
        <v>27/02/26MT2022</v>
      </c>
      <c r="G519" s="1" t="str">
        <f t="shared" si="2"/>
        <v>C27/02/26</v>
      </c>
      <c r="H519" s="1" t="str">
        <f>IFNA(VLOOKUP(TRIM(E519),Master!D:M,4,0),"")</f>
        <v>PASIR MALANG 10KG</v>
      </c>
      <c r="I519" s="4">
        <v>1.0</v>
      </c>
      <c r="J519" s="5">
        <f>IFNA(VLOOKUP(E519,Master!D:U,14,0),0)</f>
        <v>15000</v>
      </c>
      <c r="K519" s="5">
        <v>0.0</v>
      </c>
      <c r="L519" s="5">
        <f t="shared" si="3"/>
        <v>15000</v>
      </c>
      <c r="M519" s="5">
        <f>IFNA(VLOOKUP(TRIM(E519),Master!D:U,13,0),"")</f>
        <v>8000</v>
      </c>
      <c r="N519" s="5">
        <f t="shared" si="4"/>
        <v>7000</v>
      </c>
      <c r="O519" s="4" t="s">
        <v>19</v>
      </c>
      <c r="P519" s="5">
        <f t="shared" si="5"/>
        <v>46.66666667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3" t="s">
        <v>328</v>
      </c>
      <c r="B520" s="2"/>
      <c r="C520" s="14"/>
      <c r="D520" s="3"/>
      <c r="E520" s="1" t="s">
        <v>18</v>
      </c>
      <c r="F520" s="1" t="str">
        <f t="shared" si="1"/>
        <v>27/02/26PK5043</v>
      </c>
      <c r="G520" s="1" t="str">
        <f t="shared" si="2"/>
        <v>C27/02/26</v>
      </c>
      <c r="H520" s="1" t="str">
        <f>IFNA(VLOOKUP(TRIM(E520),Master!D:M,4,0),"")</f>
        <v>PUPUK KAMBING 5KG</v>
      </c>
      <c r="I520" s="4">
        <v>1.0</v>
      </c>
      <c r="J520" s="5">
        <f>IFNA(VLOOKUP(E520,Master!D:U,14,0),0)</f>
        <v>15000</v>
      </c>
      <c r="K520" s="5">
        <v>0.0</v>
      </c>
      <c r="L520" s="5">
        <f t="shared" si="3"/>
        <v>15000</v>
      </c>
      <c r="M520" s="5">
        <f>IFNA(VLOOKUP(TRIM(E520),Master!D:U,13,0),"")</f>
        <v>8000</v>
      </c>
      <c r="N520" s="5">
        <f t="shared" si="4"/>
        <v>7000</v>
      </c>
      <c r="O520" s="4" t="s">
        <v>19</v>
      </c>
      <c r="P520" s="5">
        <f t="shared" si="5"/>
        <v>46.66666667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3" t="s">
        <v>328</v>
      </c>
      <c r="B521" s="13" t="s">
        <v>337</v>
      </c>
      <c r="C521" s="14"/>
      <c r="D521" s="15">
        <v>1.0</v>
      </c>
      <c r="E521" s="20" t="s">
        <v>37</v>
      </c>
      <c r="F521" s="1" t="str">
        <f t="shared" si="1"/>
        <v>27/02/26MT2050</v>
      </c>
      <c r="G521" s="1" t="str">
        <f t="shared" si="2"/>
        <v>C27/02/26</v>
      </c>
      <c r="H521" s="1" t="str">
        <f>IFNA(VLOOKUP(TRIM(E521),Master!D:M,4,0),"")</f>
        <v>TANAH SUBUR 10KG BINTANG TANI</v>
      </c>
      <c r="I521" s="4">
        <v>1.0</v>
      </c>
      <c r="J521" s="5">
        <f>IFNA(VLOOKUP(E521,Master!D:U,14,0),0)</f>
        <v>10000</v>
      </c>
      <c r="K521" s="5">
        <v>0.0</v>
      </c>
      <c r="L521" s="5">
        <f t="shared" si="3"/>
        <v>10000</v>
      </c>
      <c r="M521" s="5">
        <f>IFNA(VLOOKUP(TRIM(E521),Master!D:U,13,0),"")</f>
        <v>6000</v>
      </c>
      <c r="N521" s="5">
        <f t="shared" si="4"/>
        <v>4000</v>
      </c>
      <c r="O521" s="4" t="s">
        <v>19</v>
      </c>
      <c r="P521" s="5">
        <f t="shared" si="5"/>
        <v>40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3" t="s">
        <v>328</v>
      </c>
      <c r="B522" s="2"/>
      <c r="C522" s="14"/>
      <c r="D522" s="3"/>
      <c r="E522" s="1" t="s">
        <v>338</v>
      </c>
      <c r="F522" s="1" t="str">
        <f t="shared" si="1"/>
        <v>27/02/26PL3099</v>
      </c>
      <c r="G522" s="1" t="str">
        <f t="shared" si="2"/>
        <v>C27/02/26</v>
      </c>
      <c r="H522" s="1" t="str">
        <f>IFNA(VLOOKUP(TRIM(E522),Master!D:M,4,0),"")</f>
        <v>TURUS 30CM</v>
      </c>
      <c r="I522" s="4">
        <v>1.0</v>
      </c>
      <c r="J522" s="5">
        <f>IFNA(VLOOKUP(E522,Master!D:U,14,0),0)</f>
        <v>9000</v>
      </c>
      <c r="K522" s="18">
        <v>-1000.0</v>
      </c>
      <c r="L522" s="5">
        <f t="shared" si="3"/>
        <v>10000</v>
      </c>
      <c r="M522" s="5">
        <f>IFNA(VLOOKUP(TRIM(E522),Master!D:U,13,0),"")</f>
        <v>6500</v>
      </c>
      <c r="N522" s="5">
        <f t="shared" si="4"/>
        <v>3500</v>
      </c>
      <c r="O522" s="4" t="s">
        <v>19</v>
      </c>
      <c r="P522" s="5">
        <f t="shared" si="5"/>
        <v>27.77777778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3" t="s">
        <v>328</v>
      </c>
      <c r="B523" s="13" t="s">
        <v>339</v>
      </c>
      <c r="C523" s="14"/>
      <c r="D523" s="15">
        <v>1.0</v>
      </c>
      <c r="E523" s="1" t="s">
        <v>91</v>
      </c>
      <c r="F523" s="1" t="str">
        <f t="shared" si="1"/>
        <v>27/02/26PK5048</v>
      </c>
      <c r="G523" s="1" t="str">
        <f t="shared" si="2"/>
        <v>C27/02/26</v>
      </c>
      <c r="H523" s="1" t="str">
        <f>IFNA(VLOOKUP(TRIM(E523),Master!D:M,4,0),"")</f>
        <v>PUPUK MUTIARA 161616 100GR RPK</v>
      </c>
      <c r="I523" s="4">
        <v>1.0</v>
      </c>
      <c r="J523" s="5">
        <f>IFNA(VLOOKUP(E523,Master!D:U,14,0),0)</f>
        <v>3000</v>
      </c>
      <c r="K523" s="18">
        <v>-2000.0</v>
      </c>
      <c r="L523" s="5">
        <f t="shared" si="3"/>
        <v>5000</v>
      </c>
      <c r="M523" s="5">
        <f>IFNA(VLOOKUP(TRIM(E523),Master!D:U,13,0),"")</f>
        <v>1900</v>
      </c>
      <c r="N523" s="5">
        <f t="shared" si="4"/>
        <v>3100</v>
      </c>
      <c r="O523" s="4" t="s">
        <v>19</v>
      </c>
      <c r="P523" s="5">
        <f t="shared" si="5"/>
        <v>36.66666667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3" t="s">
        <v>328</v>
      </c>
      <c r="B524" s="2"/>
      <c r="C524" s="14"/>
      <c r="D524" s="3"/>
      <c r="E524" s="1" t="s">
        <v>157</v>
      </c>
      <c r="F524" s="1" t="str">
        <f t="shared" si="1"/>
        <v>27/02/26PL3157</v>
      </c>
      <c r="G524" s="1" t="str">
        <f t="shared" si="2"/>
        <v>C27/02/26</v>
      </c>
      <c r="H524" s="1" t="str">
        <f>IFNA(VLOOKUP(TRIM(E524),Master!D:M,4,0),"")</f>
        <v>POT GMP HITAM 15 POLOS</v>
      </c>
      <c r="I524" s="16">
        <v>2.0</v>
      </c>
      <c r="J524" s="5">
        <f>IFNA(VLOOKUP(E524,Master!D:U,14,0),0)</f>
        <v>2000</v>
      </c>
      <c r="K524" s="5">
        <v>0.0</v>
      </c>
      <c r="L524" s="5">
        <f t="shared" si="3"/>
        <v>4000</v>
      </c>
      <c r="M524" s="5">
        <f>IFNA(VLOOKUP(TRIM(E524),Master!D:U,13,0),"")</f>
        <v>1375</v>
      </c>
      <c r="N524" s="5">
        <f t="shared" si="4"/>
        <v>1250</v>
      </c>
      <c r="O524" s="4" t="s">
        <v>19</v>
      </c>
      <c r="P524" s="5">
        <f t="shared" si="5"/>
        <v>31.25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3" t="s">
        <v>328</v>
      </c>
      <c r="B525" s="13" t="s">
        <v>319</v>
      </c>
      <c r="C525" s="14"/>
      <c r="D525" s="15">
        <v>1.0</v>
      </c>
      <c r="E525" s="17" t="s">
        <v>42</v>
      </c>
      <c r="F525" s="1" t="str">
        <f t="shared" si="1"/>
        <v>27/02/26PL3042</v>
      </c>
      <c r="G525" s="1" t="str">
        <f t="shared" si="2"/>
        <v>O27/02/26</v>
      </c>
      <c r="H525" s="1" t="str">
        <f>IFNA(VLOOKUP(TRIM(E525),Master!D:M,4,0),"")</f>
        <v>KAWAT BONSAI SILVER NO.2 ECERAN</v>
      </c>
      <c r="I525" s="16">
        <v>5.0</v>
      </c>
      <c r="J525" s="5">
        <f>IFNA(VLOOKUP(E525,Master!D:U,14,0),0)</f>
        <v>1500</v>
      </c>
      <c r="K525" s="5">
        <v>0.0</v>
      </c>
      <c r="L525" s="5">
        <f t="shared" si="3"/>
        <v>7500</v>
      </c>
      <c r="M525" s="5">
        <f>IFNA(VLOOKUP(TRIM(E525),Master!D:U,13,0),"")</f>
        <v>800</v>
      </c>
      <c r="N525" s="5">
        <f t="shared" si="4"/>
        <v>3500</v>
      </c>
      <c r="O525" s="16" t="s">
        <v>28</v>
      </c>
      <c r="P525" s="5">
        <f t="shared" si="5"/>
        <v>46.66666667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3" t="s">
        <v>328</v>
      </c>
      <c r="B526" s="2"/>
      <c r="C526" s="14"/>
      <c r="D526" s="3"/>
      <c r="E526" s="17" t="s">
        <v>43</v>
      </c>
      <c r="F526" s="1" t="str">
        <f t="shared" si="1"/>
        <v>27/02/26PL3044</v>
      </c>
      <c r="G526" s="1" t="str">
        <f t="shared" si="2"/>
        <v>O27/02/26</v>
      </c>
      <c r="H526" s="1" t="str">
        <f>IFNA(VLOOKUP(TRIM(E526),Master!D:M,4,0),"")</f>
        <v>KAWAT BONSAI SILVER NO.2.5 ECERAN</v>
      </c>
      <c r="I526" s="16">
        <v>3.0</v>
      </c>
      <c r="J526" s="5">
        <f>IFNA(VLOOKUP(E526,Master!D:U,14,0),0)</f>
        <v>2000</v>
      </c>
      <c r="K526" s="5">
        <v>0.0</v>
      </c>
      <c r="L526" s="5">
        <f t="shared" si="3"/>
        <v>6000</v>
      </c>
      <c r="M526" s="5">
        <f>IFNA(VLOOKUP(TRIM(E526),Master!D:U,13,0),"")</f>
        <v>1143</v>
      </c>
      <c r="N526" s="5">
        <f t="shared" si="4"/>
        <v>2571</v>
      </c>
      <c r="O526" s="16" t="s">
        <v>28</v>
      </c>
      <c r="P526" s="5">
        <f t="shared" si="5"/>
        <v>42.85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3" t="s">
        <v>328</v>
      </c>
      <c r="B527" s="2"/>
      <c r="C527" s="14"/>
      <c r="D527" s="3"/>
      <c r="E527" s="1" t="s">
        <v>33</v>
      </c>
      <c r="F527" s="1" t="str">
        <f t="shared" si="1"/>
        <v>27/02/26PL3040</v>
      </c>
      <c r="G527" s="1" t="str">
        <f t="shared" si="2"/>
        <v>O27/02/26</v>
      </c>
      <c r="H527" s="1" t="str">
        <f>IFNA(VLOOKUP(TRIM(E527),Master!D:M,4,0),"")</f>
        <v>KAWAT BONSAI SILVER NO.1.5 ECERAN</v>
      </c>
      <c r="I527" s="16">
        <v>5.0</v>
      </c>
      <c r="J527" s="5">
        <f>IFNA(VLOOKUP(E527,Master!D:U,14,0),0)</f>
        <v>750</v>
      </c>
      <c r="K527" s="5">
        <v>0.0</v>
      </c>
      <c r="L527" s="5">
        <f t="shared" si="3"/>
        <v>3750</v>
      </c>
      <c r="M527" s="5">
        <f>IFNA(VLOOKUP(TRIM(E527),Master!D:U,13,0),"")</f>
        <v>444</v>
      </c>
      <c r="N527" s="5">
        <f t="shared" si="4"/>
        <v>1530</v>
      </c>
      <c r="O527" s="16" t="s">
        <v>28</v>
      </c>
      <c r="P527" s="5">
        <f t="shared" si="5"/>
        <v>40.8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3" t="s">
        <v>328</v>
      </c>
      <c r="B528" s="2"/>
      <c r="C528" s="14"/>
      <c r="D528" s="3"/>
      <c r="E528" s="17" t="s">
        <v>74</v>
      </c>
      <c r="F528" s="1" t="str">
        <f t="shared" si="1"/>
        <v>27/02/26PL3026</v>
      </c>
      <c r="G528" s="1" t="str">
        <f t="shared" si="2"/>
        <v>O27/02/26</v>
      </c>
      <c r="H528" s="1" t="str">
        <f>IFNA(VLOOKUP(TRIM(E528),Master!D:M,4,0),"")</f>
        <v>KAWAT BONSAI HITAM NO.1 ECERAN</v>
      </c>
      <c r="I528" s="16">
        <v>8.0</v>
      </c>
      <c r="J528" s="5">
        <f>IFNA(VLOOKUP(E528,Master!D:U,14,0),0)</f>
        <v>750</v>
      </c>
      <c r="K528" s="5">
        <v>0.0</v>
      </c>
      <c r="L528" s="5">
        <f t="shared" si="3"/>
        <v>6000</v>
      </c>
      <c r="M528" s="5">
        <f>IFNA(VLOOKUP(TRIM(E528),Master!D:U,13,0),"")</f>
        <v>407</v>
      </c>
      <c r="N528" s="5">
        <f t="shared" si="4"/>
        <v>2744</v>
      </c>
      <c r="O528" s="16" t="s">
        <v>28</v>
      </c>
      <c r="P528" s="5">
        <f t="shared" si="5"/>
        <v>45.73333333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3" t="s">
        <v>328</v>
      </c>
      <c r="B529" s="2"/>
      <c r="C529" s="14"/>
      <c r="D529" s="3"/>
      <c r="E529" s="1" t="s">
        <v>29</v>
      </c>
      <c r="F529" s="1" t="str">
        <f t="shared" si="1"/>
        <v>27/02/26PL3028</v>
      </c>
      <c r="G529" s="1" t="str">
        <f t="shared" si="2"/>
        <v>O27/02/26</v>
      </c>
      <c r="H529" s="1" t="str">
        <f>IFNA(VLOOKUP(TRIM(E529),Master!D:M,4,0),"")</f>
        <v>KAWAT BONSAI HITAM NO.2 ECERAN</v>
      </c>
      <c r="I529" s="16">
        <v>4.0</v>
      </c>
      <c r="J529" s="5">
        <f>IFNA(VLOOKUP(E529,Master!D:U,14,0),0)</f>
        <v>2000</v>
      </c>
      <c r="K529" s="5">
        <v>0.0</v>
      </c>
      <c r="L529" s="5">
        <f t="shared" si="3"/>
        <v>8000</v>
      </c>
      <c r="M529" s="5">
        <f>IFNA(VLOOKUP(TRIM(E529),Master!D:U,13,0),"")</f>
        <v>1220</v>
      </c>
      <c r="N529" s="5">
        <f t="shared" si="4"/>
        <v>3120</v>
      </c>
      <c r="O529" s="16" t="s">
        <v>28</v>
      </c>
      <c r="P529" s="5">
        <f t="shared" si="5"/>
        <v>39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3" t="s">
        <v>328</v>
      </c>
      <c r="B530" s="13" t="s">
        <v>340</v>
      </c>
      <c r="C530" s="14"/>
      <c r="D530" s="15">
        <v>1.0</v>
      </c>
      <c r="E530" s="17" t="s">
        <v>74</v>
      </c>
      <c r="F530" s="1" t="str">
        <f t="shared" si="1"/>
        <v>27/02/26PL3026</v>
      </c>
      <c r="G530" s="1" t="str">
        <f t="shared" si="2"/>
        <v>C27/02/26</v>
      </c>
      <c r="H530" s="1" t="str">
        <f>IFNA(VLOOKUP(TRIM(E530),Master!D:M,4,0),"")</f>
        <v>KAWAT BONSAI HITAM NO.1 ECERAN</v>
      </c>
      <c r="I530" s="16">
        <v>4.0</v>
      </c>
      <c r="J530" s="5">
        <f>IFNA(VLOOKUP(E530,Master!D:U,14,0),0)</f>
        <v>750</v>
      </c>
      <c r="K530" s="5">
        <v>0.0</v>
      </c>
      <c r="L530" s="5">
        <f t="shared" si="3"/>
        <v>3000</v>
      </c>
      <c r="M530" s="5">
        <f>IFNA(VLOOKUP(TRIM(E530),Master!D:U,13,0),"")</f>
        <v>407</v>
      </c>
      <c r="N530" s="5">
        <f t="shared" si="4"/>
        <v>1372</v>
      </c>
      <c r="O530" s="4" t="s">
        <v>19</v>
      </c>
      <c r="P530" s="5">
        <f t="shared" si="5"/>
        <v>45.73333333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3" t="s">
        <v>328</v>
      </c>
      <c r="B531" s="2"/>
      <c r="C531" s="14"/>
      <c r="D531" s="3"/>
      <c r="E531" s="1" t="s">
        <v>341</v>
      </c>
      <c r="F531" s="1" t="str">
        <f t="shared" si="1"/>
        <v>27/02/26PK5004</v>
      </c>
      <c r="G531" s="1" t="str">
        <f t="shared" si="2"/>
        <v>C27/02/26</v>
      </c>
      <c r="H531" s="1" t="str">
        <f>IFNA(VLOOKUP(TRIM(E531),Master!D:M,4,0),"")</f>
        <v>ATONIK 100ML</v>
      </c>
      <c r="I531" s="4">
        <v>1.0</v>
      </c>
      <c r="J531" s="5">
        <f>IFNA(VLOOKUP(E531,Master!D:U,14,0),0)</f>
        <v>25000</v>
      </c>
      <c r="K531" s="5">
        <v>0.0</v>
      </c>
      <c r="L531" s="5">
        <f t="shared" si="3"/>
        <v>25000</v>
      </c>
      <c r="M531" s="5">
        <f>IFNA(VLOOKUP(TRIM(E531),Master!D:U,13,0),"")</f>
        <v>20000</v>
      </c>
      <c r="N531" s="5">
        <f t="shared" si="4"/>
        <v>5000</v>
      </c>
      <c r="O531" s="4" t="s">
        <v>19</v>
      </c>
      <c r="P531" s="5">
        <f t="shared" si="5"/>
        <v>20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3" t="s">
        <v>328</v>
      </c>
      <c r="B532" s="13" t="s">
        <v>342</v>
      </c>
      <c r="C532" s="14"/>
      <c r="D532" s="15">
        <v>1.0</v>
      </c>
      <c r="E532" s="20" t="s">
        <v>37</v>
      </c>
      <c r="F532" s="1" t="str">
        <f t="shared" si="1"/>
        <v>27/02/26MT2050</v>
      </c>
      <c r="G532" s="1" t="str">
        <f t="shared" si="2"/>
        <v>C27/02/26</v>
      </c>
      <c r="H532" s="1" t="str">
        <f>IFNA(VLOOKUP(TRIM(E532),Master!D:M,4,0),"")</f>
        <v>TANAH SUBUR 10KG BINTANG TANI</v>
      </c>
      <c r="I532" s="4">
        <v>1.0</v>
      </c>
      <c r="J532" s="5">
        <f>IFNA(VLOOKUP(E532,Master!D:U,14,0),0)</f>
        <v>10000</v>
      </c>
      <c r="K532" s="5">
        <v>0.0</v>
      </c>
      <c r="L532" s="5">
        <f t="shared" si="3"/>
        <v>10000</v>
      </c>
      <c r="M532" s="5">
        <f>IFNA(VLOOKUP(TRIM(E532),Master!D:U,13,0),"")</f>
        <v>6000</v>
      </c>
      <c r="N532" s="5">
        <f t="shared" si="4"/>
        <v>4000</v>
      </c>
      <c r="O532" s="4" t="s">
        <v>19</v>
      </c>
      <c r="P532" s="21" t="str">
        <f t="shared" ref="P532:P534" si="6">N532*M532-O532</f>
        <v>#VALUE!</v>
      </c>
      <c r="Q532" s="22" t="str">
        <f>IFNA(VLOOKUP(TRIM(I532),Master!H:Y,13,0),"")</f>
        <v/>
      </c>
      <c r="R532" s="21" t="str">
        <f t="shared" ref="R532:R534" si="7">P532-(Q532*M532)</f>
        <v>#VALUE!</v>
      </c>
      <c r="S532" s="23" t="s">
        <v>19</v>
      </c>
      <c r="T532" s="21">
        <f t="shared" ref="T532:T534" si="8">IFERROR((N532-Q532)/N532*100,0)</f>
        <v>100</v>
      </c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</row>
    <row r="533" ht="15.75" customHeight="1">
      <c r="A533" s="13" t="s">
        <v>328</v>
      </c>
      <c r="B533" s="13" t="s">
        <v>343</v>
      </c>
      <c r="C533" s="14"/>
      <c r="D533" s="15">
        <v>1.0</v>
      </c>
      <c r="E533" s="17" t="s">
        <v>225</v>
      </c>
      <c r="F533" s="1" t="str">
        <f t="shared" si="1"/>
        <v>27/02/26PK5049</v>
      </c>
      <c r="G533" s="1" t="str">
        <f t="shared" si="2"/>
        <v>C27/02/26</v>
      </c>
      <c r="H533" s="1" t="str">
        <f>IFNA(VLOOKUP(TRIM(E533),Master!D:M,4,0),"")</f>
        <v>PUPUK MUTIARA 161616 1KG</v>
      </c>
      <c r="I533" s="16">
        <v>2.0</v>
      </c>
      <c r="J533" s="5">
        <f>IFNA(VLOOKUP(E533,Master!D:U,14,0),0)</f>
        <v>25000</v>
      </c>
      <c r="K533" s="5">
        <v>0.0</v>
      </c>
      <c r="L533" s="5">
        <f t="shared" si="3"/>
        <v>50000</v>
      </c>
      <c r="M533" s="5">
        <f>IFNA(VLOOKUP(TRIM(E533),Master!D:U,13,0),"")</f>
        <v>17600</v>
      </c>
      <c r="N533" s="5">
        <f t="shared" si="4"/>
        <v>14800</v>
      </c>
      <c r="O533" s="4" t="s">
        <v>19</v>
      </c>
      <c r="P533" s="21" t="str">
        <f t="shared" si="6"/>
        <v>#VALUE!</v>
      </c>
      <c r="Q533" s="22" t="str">
        <f>IFNA(VLOOKUP(TRIM(I533),Master!H:Y,13,0),"")</f>
        <v/>
      </c>
      <c r="R533" s="21" t="str">
        <f t="shared" si="7"/>
        <v>#VALUE!</v>
      </c>
      <c r="S533" s="23" t="s">
        <v>19</v>
      </c>
      <c r="T533" s="21">
        <f t="shared" si="8"/>
        <v>100</v>
      </c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</row>
    <row r="534" ht="15.75" customHeight="1">
      <c r="A534" s="13" t="s">
        <v>344</v>
      </c>
      <c r="B534" s="13" t="s">
        <v>345</v>
      </c>
      <c r="C534" s="14"/>
      <c r="D534" s="15">
        <v>1.0</v>
      </c>
      <c r="E534" s="20" t="s">
        <v>37</v>
      </c>
      <c r="F534" s="1" t="str">
        <f t="shared" si="1"/>
        <v>28/02/26MT2050</v>
      </c>
      <c r="G534" s="1" t="str">
        <f t="shared" si="2"/>
        <v>C28/02/26</v>
      </c>
      <c r="H534" s="1" t="str">
        <f>IFNA(VLOOKUP(TRIM(E534),Master!D:M,4,0),"")</f>
        <v>TANAH SUBUR 10KG BINTANG TANI</v>
      </c>
      <c r="I534" s="4">
        <v>1.0</v>
      </c>
      <c r="J534" s="5">
        <f>IFNA(VLOOKUP(E534,Master!D:U,14,0),0)</f>
        <v>10000</v>
      </c>
      <c r="K534" s="5">
        <v>0.0</v>
      </c>
      <c r="L534" s="5">
        <f t="shared" si="3"/>
        <v>10000</v>
      </c>
      <c r="M534" s="5">
        <f>IFNA(VLOOKUP(TRIM(E534),Master!D:U,13,0),"")</f>
        <v>6000</v>
      </c>
      <c r="N534" s="5">
        <f t="shared" si="4"/>
        <v>4000</v>
      </c>
      <c r="O534" s="4" t="s">
        <v>19</v>
      </c>
      <c r="P534" s="21" t="str">
        <f t="shared" si="6"/>
        <v>#VALUE!</v>
      </c>
      <c r="Q534" s="22" t="str">
        <f>IFNA(VLOOKUP(TRIM(I534),Master!H:Y,13,0),"")</f>
        <v/>
      </c>
      <c r="R534" s="21" t="str">
        <f t="shared" si="7"/>
        <v>#VALUE!</v>
      </c>
      <c r="S534" s="23" t="s">
        <v>19</v>
      </c>
      <c r="T534" s="21">
        <f t="shared" si="8"/>
        <v>100</v>
      </c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</row>
    <row r="535" ht="15.75" customHeight="1">
      <c r="A535" s="13" t="s">
        <v>344</v>
      </c>
      <c r="B535" s="2"/>
      <c r="C535" s="14"/>
      <c r="D535" s="3"/>
      <c r="E535" s="1" t="s">
        <v>91</v>
      </c>
      <c r="F535" s="1" t="str">
        <f t="shared" si="1"/>
        <v>28/02/26PK5048</v>
      </c>
      <c r="G535" s="1" t="str">
        <f t="shared" si="2"/>
        <v>C28/02/26</v>
      </c>
      <c r="H535" s="1" t="str">
        <f>IFNA(VLOOKUP(TRIM(E535),Master!D:M,4,0),"")</f>
        <v>PUPUK MUTIARA 161616 100GR RPK</v>
      </c>
      <c r="I535" s="4">
        <v>1.0</v>
      </c>
      <c r="J535" s="5">
        <f>IFNA(VLOOKUP(E535,Master!D:U,14,0),0)</f>
        <v>3000</v>
      </c>
      <c r="K535" s="5">
        <v>0.0</v>
      </c>
      <c r="L535" s="5">
        <f t="shared" si="3"/>
        <v>3000</v>
      </c>
      <c r="M535" s="5">
        <f>IFNA(VLOOKUP(TRIM(E535),Master!D:U,13,0),"")</f>
        <v>1900</v>
      </c>
      <c r="N535" s="5">
        <f t="shared" si="4"/>
        <v>1100</v>
      </c>
      <c r="O535" s="4" t="s">
        <v>19</v>
      </c>
      <c r="P535" s="5">
        <f t="shared" ref="P535:P577" si="9">IFERROR((J535-M535)/J535*100,0)</f>
        <v>36.66666667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3" t="s">
        <v>344</v>
      </c>
      <c r="B536" s="13" t="s">
        <v>217</v>
      </c>
      <c r="C536" s="14"/>
      <c r="D536" s="15">
        <v>1.0</v>
      </c>
      <c r="E536" s="1" t="s">
        <v>34</v>
      </c>
      <c r="F536" s="1" t="str">
        <f t="shared" si="1"/>
        <v>28/02/26MT2053</v>
      </c>
      <c r="G536" s="1" t="str">
        <f t="shared" si="2"/>
        <v>C28/02/26</v>
      </c>
      <c r="H536" s="1" t="str">
        <f>IFNA(VLOOKUP(TRIM(E536),Master!D:M,4,0),"")</f>
        <v>TANAH SUBUR 25KG BINTANG TANI</v>
      </c>
      <c r="I536" s="4">
        <v>1.0</v>
      </c>
      <c r="J536" s="5">
        <f>IFNA(VLOOKUP(E536,Master!D:U,14,0),0)</f>
        <v>25000</v>
      </c>
      <c r="K536" s="5">
        <v>0.0</v>
      </c>
      <c r="L536" s="5">
        <f t="shared" si="3"/>
        <v>25000</v>
      </c>
      <c r="M536" s="5">
        <f>IFNA(VLOOKUP(TRIM(E536),Master!D:U,13,0),"")</f>
        <v>15000</v>
      </c>
      <c r="N536" s="5">
        <f t="shared" si="4"/>
        <v>10000</v>
      </c>
      <c r="O536" s="4" t="s">
        <v>19</v>
      </c>
      <c r="P536" s="5">
        <f t="shared" si="9"/>
        <v>40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3" t="s">
        <v>344</v>
      </c>
      <c r="B537" s="2"/>
      <c r="C537" s="14"/>
      <c r="D537" s="3"/>
      <c r="E537" s="1" t="s">
        <v>94</v>
      </c>
      <c r="F537" s="1" t="str">
        <f t="shared" si="1"/>
        <v>28/02/26MT2039</v>
      </c>
      <c r="G537" s="1" t="str">
        <f t="shared" si="2"/>
        <v>C28/02/26</v>
      </c>
      <c r="H537" s="1" t="str">
        <f>IFNA(VLOOKUP(TRIM(E537),Master!D:M,4,0),"")</f>
        <v>SEKAM BAKAR 10KG</v>
      </c>
      <c r="I537" s="4">
        <v>1.0</v>
      </c>
      <c r="J537" s="5">
        <f>IFNA(VLOOKUP(E537,Master!D:U,14,0),0)</f>
        <v>12000</v>
      </c>
      <c r="K537" s="5">
        <v>0.0</v>
      </c>
      <c r="L537" s="5">
        <f t="shared" si="3"/>
        <v>12000</v>
      </c>
      <c r="M537" s="5">
        <f>IFNA(VLOOKUP(TRIM(E537),Master!D:U,13,0),"")</f>
        <v>6000</v>
      </c>
      <c r="N537" s="5">
        <f t="shared" si="4"/>
        <v>6000</v>
      </c>
      <c r="O537" s="4" t="s">
        <v>19</v>
      </c>
      <c r="P537" s="5">
        <f t="shared" si="9"/>
        <v>50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3" t="s">
        <v>344</v>
      </c>
      <c r="B538" s="13" t="s">
        <v>346</v>
      </c>
      <c r="C538" s="14"/>
      <c r="D538" s="15">
        <v>1.0</v>
      </c>
      <c r="E538" s="20" t="s">
        <v>37</v>
      </c>
      <c r="F538" s="1" t="str">
        <f t="shared" si="1"/>
        <v>28/02/26MT2050</v>
      </c>
      <c r="G538" s="1" t="str">
        <f t="shared" si="2"/>
        <v>I28/02/26</v>
      </c>
      <c r="H538" s="1" t="str">
        <f>IFNA(VLOOKUP(TRIM(E538),Master!D:M,4,0),"")</f>
        <v>TANAH SUBUR 10KG BINTANG TANI</v>
      </c>
      <c r="I538" s="4">
        <v>1.0</v>
      </c>
      <c r="J538" s="5">
        <f>IFNA(VLOOKUP(E538,Master!D:U,14,0),0)</f>
        <v>10000</v>
      </c>
      <c r="K538" s="5">
        <v>0.0</v>
      </c>
      <c r="L538" s="5">
        <f t="shared" si="3"/>
        <v>10000</v>
      </c>
      <c r="M538" s="5">
        <f>IFNA(VLOOKUP(TRIM(E538),Master!D:U,13,0),"")</f>
        <v>6000</v>
      </c>
      <c r="N538" s="5">
        <f t="shared" si="4"/>
        <v>4000</v>
      </c>
      <c r="O538" s="16" t="s">
        <v>23</v>
      </c>
      <c r="P538" s="5">
        <f t="shared" si="9"/>
        <v>40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3" t="s">
        <v>344</v>
      </c>
      <c r="B539" s="2"/>
      <c r="C539" s="14"/>
      <c r="D539" s="3"/>
      <c r="E539" s="1" t="s">
        <v>22</v>
      </c>
      <c r="F539" s="1" t="str">
        <f t="shared" si="1"/>
        <v>28/02/26MT2037</v>
      </c>
      <c r="G539" s="1" t="str">
        <f t="shared" si="2"/>
        <v>I28/02/26</v>
      </c>
      <c r="H539" s="1" t="str">
        <f>IFNA(VLOOKUP(TRIM(E539),Master!D:M,4,0),"")</f>
        <v>PUPUK KOMPOS 5KG</v>
      </c>
      <c r="I539" s="4">
        <v>1.0</v>
      </c>
      <c r="J539" s="5">
        <f>IFNA(VLOOKUP(E539,Master!D:U,14,0),0)</f>
        <v>10000</v>
      </c>
      <c r="K539" s="5">
        <v>0.0</v>
      </c>
      <c r="L539" s="5">
        <f t="shared" si="3"/>
        <v>10000</v>
      </c>
      <c r="M539" s="5">
        <f>IFNA(VLOOKUP(TRIM(E539),Master!D:U,13,0),"")</f>
        <v>5000</v>
      </c>
      <c r="N539" s="5">
        <f t="shared" si="4"/>
        <v>5000</v>
      </c>
      <c r="O539" s="16" t="s">
        <v>23</v>
      </c>
      <c r="P539" s="5">
        <f t="shared" si="9"/>
        <v>50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3" t="s">
        <v>344</v>
      </c>
      <c r="B540" s="2"/>
      <c r="C540" s="14"/>
      <c r="D540" s="3"/>
      <c r="E540" s="1" t="s">
        <v>58</v>
      </c>
      <c r="F540" s="1" t="str">
        <f t="shared" si="1"/>
        <v>28/02/26MT2041</v>
      </c>
      <c r="G540" s="1" t="str">
        <f t="shared" si="2"/>
        <v>I28/02/26</v>
      </c>
      <c r="H540" s="1" t="str">
        <f>IFNA(VLOOKUP(TRIM(E540),Master!D:M,4,0),"")</f>
        <v>SEKAM BAKAR 5KG</v>
      </c>
      <c r="I540" s="4">
        <v>1.0</v>
      </c>
      <c r="J540" s="5">
        <f>IFNA(VLOOKUP(E540,Master!D:U,14,0),0)</f>
        <v>8000</v>
      </c>
      <c r="K540" s="5">
        <v>0.0</v>
      </c>
      <c r="L540" s="5">
        <f t="shared" si="3"/>
        <v>8000</v>
      </c>
      <c r="M540" s="5">
        <f>IFNA(VLOOKUP(TRIM(E540),Master!D:U,13,0),"")</f>
        <v>3400</v>
      </c>
      <c r="N540" s="5">
        <f t="shared" si="4"/>
        <v>4600</v>
      </c>
      <c r="O540" s="16" t="s">
        <v>23</v>
      </c>
      <c r="P540" s="5">
        <f t="shared" si="9"/>
        <v>57.5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3" t="s">
        <v>344</v>
      </c>
      <c r="B541" s="13" t="s">
        <v>347</v>
      </c>
      <c r="C541" s="14"/>
      <c r="D541" s="15">
        <v>1.0</v>
      </c>
      <c r="E541" s="1" t="s">
        <v>46</v>
      </c>
      <c r="F541" s="1" t="str">
        <f t="shared" si="1"/>
        <v>28/02/26MT2044</v>
      </c>
      <c r="G541" s="1" t="str">
        <f t="shared" si="2"/>
        <v>O28/02/26</v>
      </c>
      <c r="H541" s="1" t="str">
        <f>IFNA(VLOOKUP(TRIM(E541),Master!D:M,4,0),"")</f>
        <v>SEKAM MENTAH 10KG</v>
      </c>
      <c r="I541" s="16">
        <v>3.0</v>
      </c>
      <c r="J541" s="5">
        <f>IFNA(VLOOKUP(E541,Master!D:U,14,0),0)</f>
        <v>10000</v>
      </c>
      <c r="K541" s="5">
        <v>0.0</v>
      </c>
      <c r="L541" s="5">
        <f t="shared" si="3"/>
        <v>30000</v>
      </c>
      <c r="M541" s="5">
        <f>IFNA(VLOOKUP(TRIM(E541),Master!D:U,13,0),"")</f>
        <v>6000</v>
      </c>
      <c r="N541" s="5">
        <f t="shared" si="4"/>
        <v>12000</v>
      </c>
      <c r="O541" s="16" t="s">
        <v>28</v>
      </c>
      <c r="P541" s="5">
        <f t="shared" si="9"/>
        <v>40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3" t="s">
        <v>344</v>
      </c>
      <c r="B542" s="13" t="s">
        <v>347</v>
      </c>
      <c r="C542" s="14"/>
      <c r="D542" s="15">
        <v>1.0</v>
      </c>
      <c r="E542" s="1" t="s">
        <v>22</v>
      </c>
      <c r="F542" s="1" t="str">
        <f t="shared" si="1"/>
        <v>28/02/26MT2037</v>
      </c>
      <c r="G542" s="1" t="str">
        <f t="shared" si="2"/>
        <v>O28/02/26</v>
      </c>
      <c r="H542" s="1" t="str">
        <f>IFNA(VLOOKUP(TRIM(E542),Master!D:M,4,0),"")</f>
        <v>PUPUK KOMPOS 5KG</v>
      </c>
      <c r="I542" s="4">
        <v>1.0</v>
      </c>
      <c r="J542" s="5">
        <f>IFNA(VLOOKUP(E542,Master!D:U,14,0),0)</f>
        <v>10000</v>
      </c>
      <c r="K542" s="5">
        <v>0.0</v>
      </c>
      <c r="L542" s="5">
        <f t="shared" si="3"/>
        <v>10000</v>
      </c>
      <c r="M542" s="5">
        <f>IFNA(VLOOKUP(TRIM(E542),Master!D:U,13,0),"")</f>
        <v>5000</v>
      </c>
      <c r="N542" s="5">
        <f t="shared" si="4"/>
        <v>5000</v>
      </c>
      <c r="O542" s="16" t="s">
        <v>28</v>
      </c>
      <c r="P542" s="5">
        <f t="shared" si="9"/>
        <v>50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3" t="s">
        <v>344</v>
      </c>
      <c r="B543" s="2"/>
      <c r="C543" s="14"/>
      <c r="D543" s="3"/>
      <c r="E543" s="1" t="s">
        <v>45</v>
      </c>
      <c r="F543" s="1" t="str">
        <f t="shared" si="1"/>
        <v>28/02/26MT2008</v>
      </c>
      <c r="G543" s="1" t="str">
        <f t="shared" si="2"/>
        <v>O28/02/26</v>
      </c>
      <c r="H543" s="1" t="str">
        <f>IFNA(VLOOKUP(TRIM(E543),Master!D:M,4,0),"")</f>
        <v>COCOPEAT NON FERMENTASI 10KG</v>
      </c>
      <c r="I543" s="4">
        <v>1.0</v>
      </c>
      <c r="J543" s="5">
        <f>IFNA(VLOOKUP(E543,Master!D:U,14,0),0)</f>
        <v>10000</v>
      </c>
      <c r="K543" s="5">
        <v>0.0</v>
      </c>
      <c r="L543" s="5">
        <f t="shared" si="3"/>
        <v>10000</v>
      </c>
      <c r="M543" s="5">
        <f>IFNA(VLOOKUP(TRIM(E543),Master!D:U,13,0),"")</f>
        <v>6000</v>
      </c>
      <c r="N543" s="5">
        <f t="shared" si="4"/>
        <v>4000</v>
      </c>
      <c r="O543" s="16" t="s">
        <v>28</v>
      </c>
      <c r="P543" s="5">
        <f t="shared" si="9"/>
        <v>40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3" t="s">
        <v>344</v>
      </c>
      <c r="B544" s="2"/>
      <c r="C544" s="14"/>
      <c r="D544" s="3"/>
      <c r="E544" s="1" t="s">
        <v>94</v>
      </c>
      <c r="F544" s="1" t="str">
        <f t="shared" si="1"/>
        <v>28/02/26MT2039</v>
      </c>
      <c r="G544" s="1" t="str">
        <f t="shared" si="2"/>
        <v>O28/02/26</v>
      </c>
      <c r="H544" s="1" t="str">
        <f>IFNA(VLOOKUP(TRIM(E544),Master!D:M,4,0),"")</f>
        <v>SEKAM BAKAR 10KG</v>
      </c>
      <c r="I544" s="4">
        <v>1.0</v>
      </c>
      <c r="J544" s="5">
        <f>IFNA(VLOOKUP(E544,Master!D:U,14,0),0)</f>
        <v>12000</v>
      </c>
      <c r="K544" s="5">
        <v>0.0</v>
      </c>
      <c r="L544" s="5">
        <f t="shared" si="3"/>
        <v>12000</v>
      </c>
      <c r="M544" s="5">
        <f>IFNA(VLOOKUP(TRIM(E544),Master!D:U,13,0),"")</f>
        <v>6000</v>
      </c>
      <c r="N544" s="5">
        <f t="shared" si="4"/>
        <v>6000</v>
      </c>
      <c r="O544" s="16" t="s">
        <v>28</v>
      </c>
      <c r="P544" s="5">
        <f t="shared" si="9"/>
        <v>50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3" t="s">
        <v>344</v>
      </c>
      <c r="B545" s="2"/>
      <c r="C545" s="14"/>
      <c r="D545" s="3"/>
      <c r="E545" s="1" t="s">
        <v>348</v>
      </c>
      <c r="F545" s="1" t="str">
        <f t="shared" si="1"/>
        <v>28/02/26MT2011</v>
      </c>
      <c r="G545" s="1" t="str">
        <f t="shared" si="2"/>
        <v>O28/02/26</v>
      </c>
      <c r="H545" s="1" t="str">
        <f>IFNA(VLOOKUP(TRIM(E545),Master!D:M,4,0),"")</f>
        <v>HUMUS BAMBU</v>
      </c>
      <c r="I545" s="4">
        <v>1.0</v>
      </c>
      <c r="J545" s="5">
        <f>IFNA(VLOOKUP(E545,Master!D:U,14,0),0)</f>
        <v>12000</v>
      </c>
      <c r="K545" s="5">
        <v>0.0</v>
      </c>
      <c r="L545" s="5">
        <f t="shared" si="3"/>
        <v>12000</v>
      </c>
      <c r="M545" s="5">
        <f>IFNA(VLOOKUP(TRIM(E545),Master!D:U,13,0),"")</f>
        <v>4285.714286</v>
      </c>
      <c r="N545" s="5">
        <f t="shared" si="4"/>
        <v>7714.285714</v>
      </c>
      <c r="O545" s="16" t="s">
        <v>28</v>
      </c>
      <c r="P545" s="5">
        <f t="shared" si="9"/>
        <v>64.28571429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3" t="s">
        <v>344</v>
      </c>
      <c r="B546" s="13" t="s">
        <v>329</v>
      </c>
      <c r="C546" s="14"/>
      <c r="D546" s="15">
        <v>1.0</v>
      </c>
      <c r="E546" s="20" t="s">
        <v>37</v>
      </c>
      <c r="F546" s="1" t="str">
        <f t="shared" si="1"/>
        <v>28/02/26MT2050</v>
      </c>
      <c r="G546" s="1" t="str">
        <f t="shared" si="2"/>
        <v>C28/02/26</v>
      </c>
      <c r="H546" s="1" t="str">
        <f>IFNA(VLOOKUP(TRIM(E546),Master!D:M,4,0),"")</f>
        <v>TANAH SUBUR 10KG BINTANG TANI</v>
      </c>
      <c r="I546" s="4">
        <v>1.0</v>
      </c>
      <c r="J546" s="5">
        <f>IFNA(VLOOKUP(E546,Master!D:U,14,0),0)</f>
        <v>10000</v>
      </c>
      <c r="K546" s="5">
        <v>0.0</v>
      </c>
      <c r="L546" s="5">
        <f t="shared" si="3"/>
        <v>10000</v>
      </c>
      <c r="M546" s="5">
        <f>IFNA(VLOOKUP(TRIM(E546),Master!D:U,13,0),"")</f>
        <v>6000</v>
      </c>
      <c r="N546" s="5">
        <f t="shared" si="4"/>
        <v>4000</v>
      </c>
      <c r="O546" s="4" t="s">
        <v>19</v>
      </c>
      <c r="P546" s="5">
        <f t="shared" si="9"/>
        <v>40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3" t="s">
        <v>344</v>
      </c>
      <c r="B547" s="13" t="s">
        <v>24</v>
      </c>
      <c r="C547" s="14"/>
      <c r="D547" s="15">
        <v>1.0</v>
      </c>
      <c r="E547" s="17" t="s">
        <v>42</v>
      </c>
      <c r="F547" s="1" t="str">
        <f t="shared" si="1"/>
        <v>28/02/26PL3042</v>
      </c>
      <c r="G547" s="1" t="str">
        <f t="shared" si="2"/>
        <v>C28/02/26</v>
      </c>
      <c r="H547" s="1" t="str">
        <f>IFNA(VLOOKUP(TRIM(E547),Master!D:M,4,0),"")</f>
        <v>KAWAT BONSAI SILVER NO.2 ECERAN</v>
      </c>
      <c r="I547" s="16">
        <v>10.0</v>
      </c>
      <c r="J547" s="5">
        <f>IFNA(VLOOKUP(E547,Master!D:U,14,0),0)</f>
        <v>1500</v>
      </c>
      <c r="K547" s="5">
        <v>0.0</v>
      </c>
      <c r="L547" s="5">
        <f t="shared" si="3"/>
        <v>15000</v>
      </c>
      <c r="M547" s="5">
        <f>IFNA(VLOOKUP(TRIM(E547),Master!D:U,13,0),"")</f>
        <v>800</v>
      </c>
      <c r="N547" s="5">
        <f t="shared" si="4"/>
        <v>7000</v>
      </c>
      <c r="O547" s="4" t="s">
        <v>19</v>
      </c>
      <c r="P547" s="5">
        <f t="shared" si="9"/>
        <v>46.66666667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3" t="s">
        <v>344</v>
      </c>
      <c r="B548" s="2"/>
      <c r="C548" s="14"/>
      <c r="D548" s="3"/>
      <c r="E548" s="17" t="s">
        <v>183</v>
      </c>
      <c r="F548" s="1" t="str">
        <f t="shared" si="1"/>
        <v>28/02/26PL3046</v>
      </c>
      <c r="G548" s="1" t="str">
        <f t="shared" si="2"/>
        <v>C28/02/26</v>
      </c>
      <c r="H548" s="1" t="str">
        <f>IFNA(VLOOKUP(TRIM(E548),Master!D:M,4,0),"")</f>
        <v>KAWAT BONSAI SILVER NO.3 ECERAN</v>
      </c>
      <c r="I548" s="16">
        <v>5.0</v>
      </c>
      <c r="J548" s="5">
        <f>IFNA(VLOOKUP(E548,Master!D:U,14,0),0)</f>
        <v>3000</v>
      </c>
      <c r="K548" s="5">
        <v>0.0</v>
      </c>
      <c r="L548" s="5">
        <f t="shared" si="3"/>
        <v>15000</v>
      </c>
      <c r="M548" s="5">
        <f>IFNA(VLOOKUP(TRIM(E548),Master!D:U,13,0),"")</f>
        <v>2000</v>
      </c>
      <c r="N548" s="5">
        <f t="shared" si="4"/>
        <v>5000</v>
      </c>
      <c r="O548" s="4" t="s">
        <v>19</v>
      </c>
      <c r="P548" s="5">
        <f t="shared" si="9"/>
        <v>33.33333333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3" t="s">
        <v>344</v>
      </c>
      <c r="B549" s="13" t="s">
        <v>349</v>
      </c>
      <c r="C549" s="14"/>
      <c r="D549" s="15">
        <v>1.0</v>
      </c>
      <c r="E549" s="1" t="s">
        <v>234</v>
      </c>
      <c r="F549" s="1" t="str">
        <f t="shared" si="1"/>
        <v>28/02/26PL3070</v>
      </c>
      <c r="G549" s="1" t="str">
        <f t="shared" si="2"/>
        <v>C28/02/26</v>
      </c>
      <c r="H549" s="1" t="str">
        <f>IFNA(VLOOKUP(TRIM(E549),Master!D:M,4,0),"")</f>
        <v>DC 33X33</v>
      </c>
      <c r="I549" s="4">
        <v>1.0</v>
      </c>
      <c r="J549" s="5">
        <f>IFNA(VLOOKUP(E549,Master!D:U,14,0),0)</f>
        <v>17000</v>
      </c>
      <c r="K549" s="5">
        <v>0.0</v>
      </c>
      <c r="L549" s="5">
        <f t="shared" si="3"/>
        <v>17000</v>
      </c>
      <c r="M549" s="5">
        <f>IFNA(VLOOKUP(TRIM(E549),Master!D:U,13,0),"")</f>
        <v>13000</v>
      </c>
      <c r="N549" s="5">
        <f t="shared" si="4"/>
        <v>4000</v>
      </c>
      <c r="O549" s="4" t="s">
        <v>19</v>
      </c>
      <c r="P549" s="5">
        <f t="shared" si="9"/>
        <v>23.52941176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3" t="s">
        <v>344</v>
      </c>
      <c r="B550" s="2"/>
      <c r="C550" s="14"/>
      <c r="D550" s="3"/>
      <c r="E550" s="17" t="s">
        <v>350</v>
      </c>
      <c r="F550" s="1" t="str">
        <f t="shared" si="1"/>
        <v>28/02/26PL3071</v>
      </c>
      <c r="G550" s="1" t="str">
        <f t="shared" si="2"/>
        <v>C28/02/26</v>
      </c>
      <c r="H550" s="1" t="str">
        <f>IFNA(VLOOKUP(TRIM(E550),Master!D:M,4,0),"")</f>
        <v>DC 50X50</v>
      </c>
      <c r="I550" s="4">
        <v>1.0</v>
      </c>
      <c r="J550" s="5">
        <f>IFNA(VLOOKUP(E550,Master!D:U,14,0),0)</f>
        <v>40000</v>
      </c>
      <c r="K550" s="5">
        <v>0.0</v>
      </c>
      <c r="L550" s="5">
        <f t="shared" si="3"/>
        <v>40000</v>
      </c>
      <c r="M550" s="5">
        <f>IFNA(VLOOKUP(TRIM(E550),Master!D:U,13,0),"")</f>
        <v>36000</v>
      </c>
      <c r="N550" s="5">
        <f t="shared" si="4"/>
        <v>4000</v>
      </c>
      <c r="O550" s="4" t="s">
        <v>19</v>
      </c>
      <c r="P550" s="5">
        <f t="shared" si="9"/>
        <v>10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3" t="s">
        <v>344</v>
      </c>
      <c r="B551" s="13" t="s">
        <v>349</v>
      </c>
      <c r="C551" s="14"/>
      <c r="D551" s="15">
        <v>1.0</v>
      </c>
      <c r="E551" s="17" t="s">
        <v>35</v>
      </c>
      <c r="F551" s="1" t="str">
        <f t="shared" si="1"/>
        <v>28/02/26PL3113</v>
      </c>
      <c r="G551" s="1" t="str">
        <f t="shared" si="2"/>
        <v>C28/02/26</v>
      </c>
      <c r="H551" s="1" t="str">
        <f>IFNA(VLOOKUP(TRIM(E551),Master!D:M,4,0),"")</f>
        <v>POLYBAG 30</v>
      </c>
      <c r="I551" s="16">
        <v>3.0</v>
      </c>
      <c r="J551" s="5">
        <f>IFNA(VLOOKUP(E551,Master!D:U,14,0),0)</f>
        <v>5000</v>
      </c>
      <c r="K551" s="5">
        <v>0.0</v>
      </c>
      <c r="L551" s="5">
        <f t="shared" si="3"/>
        <v>15000</v>
      </c>
      <c r="M551" s="5">
        <f>IFNA(VLOOKUP(TRIM(E551),Master!D:U,13,0),"")</f>
        <v>3500</v>
      </c>
      <c r="N551" s="5">
        <f t="shared" si="4"/>
        <v>4500</v>
      </c>
      <c r="O551" s="4" t="s">
        <v>19</v>
      </c>
      <c r="P551" s="5">
        <f t="shared" si="9"/>
        <v>30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3" t="s">
        <v>344</v>
      </c>
      <c r="B552" s="2"/>
      <c r="C552" s="14"/>
      <c r="D552" s="3"/>
      <c r="E552" s="1" t="s">
        <v>191</v>
      </c>
      <c r="F552" s="1" t="str">
        <f t="shared" si="1"/>
        <v>28/02/26PL3067</v>
      </c>
      <c r="G552" s="1" t="str">
        <f t="shared" si="2"/>
        <v>C28/02/26</v>
      </c>
      <c r="H552" s="1" t="str">
        <f>IFNA(VLOOKUP(TRIM(E552),Master!D:M,4,0),"")</f>
        <v>BIBIT HITAM</v>
      </c>
      <c r="I552" s="4">
        <v>1.0</v>
      </c>
      <c r="J552" s="5">
        <f>IFNA(VLOOKUP(E552,Master!D:U,14,0),0)</f>
        <v>10000</v>
      </c>
      <c r="K552" s="5">
        <v>0.0</v>
      </c>
      <c r="L552" s="5">
        <f t="shared" si="3"/>
        <v>10000</v>
      </c>
      <c r="M552" s="5">
        <f>IFNA(VLOOKUP(TRIM(E552),Master!D:U,13,0),"")</f>
        <v>4000</v>
      </c>
      <c r="N552" s="5">
        <f t="shared" si="4"/>
        <v>6000</v>
      </c>
      <c r="O552" s="4" t="s">
        <v>19</v>
      </c>
      <c r="P552" s="5">
        <f t="shared" si="9"/>
        <v>60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3" t="s">
        <v>344</v>
      </c>
      <c r="B553" s="13" t="s">
        <v>111</v>
      </c>
      <c r="C553" s="14"/>
      <c r="D553" s="15">
        <v>1.0</v>
      </c>
      <c r="E553" s="20" t="s">
        <v>37</v>
      </c>
      <c r="F553" s="1" t="str">
        <f t="shared" si="1"/>
        <v>28/02/26MT2050</v>
      </c>
      <c r="G553" s="1" t="str">
        <f t="shared" si="2"/>
        <v>C28/02/26</v>
      </c>
      <c r="H553" s="1" t="str">
        <f>IFNA(VLOOKUP(TRIM(E553),Master!D:M,4,0),"")</f>
        <v>TANAH SUBUR 10KG BINTANG TANI</v>
      </c>
      <c r="I553" s="4">
        <v>1.0</v>
      </c>
      <c r="J553" s="5">
        <f>IFNA(VLOOKUP(E553,Master!D:U,14,0),0)</f>
        <v>10000</v>
      </c>
      <c r="K553" s="5">
        <v>0.0</v>
      </c>
      <c r="L553" s="5">
        <f t="shared" si="3"/>
        <v>10000</v>
      </c>
      <c r="M553" s="5">
        <f>IFNA(VLOOKUP(TRIM(E553),Master!D:U,13,0),"")</f>
        <v>6000</v>
      </c>
      <c r="N553" s="5">
        <f t="shared" si="4"/>
        <v>4000</v>
      </c>
      <c r="O553" s="4" t="s">
        <v>19</v>
      </c>
      <c r="P553" s="5">
        <f t="shared" si="9"/>
        <v>40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3" t="s">
        <v>344</v>
      </c>
      <c r="B554" s="2"/>
      <c r="C554" s="14"/>
      <c r="D554" s="3"/>
      <c r="E554" s="1" t="s">
        <v>351</v>
      </c>
      <c r="F554" s="1" t="str">
        <f t="shared" si="1"/>
        <v>28/02/26PL3105</v>
      </c>
      <c r="G554" s="1" t="str">
        <f t="shared" si="2"/>
        <v>C28/02/26</v>
      </c>
      <c r="H554" s="1" t="str">
        <f>IFNA(VLOOKUP(TRIM(E554),Master!D:M,4,0),"")</f>
        <v>POLYBAG 12</v>
      </c>
      <c r="I554" s="4">
        <v>1.0</v>
      </c>
      <c r="J554" s="5">
        <f>IFNA(VLOOKUP(E554,Master!D:U,14,0),0)</f>
        <v>5000</v>
      </c>
      <c r="K554" s="5">
        <v>0.0</v>
      </c>
      <c r="L554" s="5">
        <f t="shared" si="3"/>
        <v>5000</v>
      </c>
      <c r="M554" s="5">
        <f>IFNA(VLOOKUP(TRIM(E554),Master!D:U,13,0),"")</f>
        <v>3500</v>
      </c>
      <c r="N554" s="5">
        <f t="shared" si="4"/>
        <v>1500</v>
      </c>
      <c r="O554" s="4" t="s">
        <v>19</v>
      </c>
      <c r="P554" s="5">
        <f t="shared" si="9"/>
        <v>30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3" t="s">
        <v>344</v>
      </c>
      <c r="B555" s="13" t="s">
        <v>352</v>
      </c>
      <c r="C555" s="14"/>
      <c r="D555" s="15">
        <v>1.0</v>
      </c>
      <c r="E555" s="17" t="s">
        <v>223</v>
      </c>
      <c r="F555" s="1" t="str">
        <f t="shared" si="1"/>
        <v>28/02/26PL3050</v>
      </c>
      <c r="G555" s="1" t="str">
        <f t="shared" si="2"/>
        <v>O28/02/26</v>
      </c>
      <c r="H555" s="1" t="str">
        <f>IFNA(VLOOKUP(TRIM(E555),Master!D:M,4,0),"")</f>
        <v>KAWAT BONSAI SILVER NO.4 ECERAN</v>
      </c>
      <c r="I555" s="16">
        <v>6.0</v>
      </c>
      <c r="J555" s="5">
        <f>IFNA(VLOOKUP(E555,Master!D:U,14,0),0)</f>
        <v>5000</v>
      </c>
      <c r="K555" s="5">
        <v>0.0</v>
      </c>
      <c r="L555" s="5">
        <f t="shared" si="3"/>
        <v>30000</v>
      </c>
      <c r="M555" s="5">
        <f>IFNA(VLOOKUP(TRIM(E555),Master!D:U,13,0),"")</f>
        <v>4000</v>
      </c>
      <c r="N555" s="5">
        <f t="shared" si="4"/>
        <v>6000</v>
      </c>
      <c r="O555" s="16" t="s">
        <v>28</v>
      </c>
      <c r="P555" s="5">
        <f t="shared" si="9"/>
        <v>20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3" t="s">
        <v>344</v>
      </c>
      <c r="B556" s="2"/>
      <c r="C556" s="14"/>
      <c r="D556" s="3"/>
      <c r="E556" s="1" t="s">
        <v>29</v>
      </c>
      <c r="F556" s="1" t="str">
        <f t="shared" si="1"/>
        <v>28/02/26PL3028</v>
      </c>
      <c r="G556" s="1" t="str">
        <f t="shared" si="2"/>
        <v>O28/02/26</v>
      </c>
      <c r="H556" s="1" t="str">
        <f>IFNA(VLOOKUP(TRIM(E556),Master!D:M,4,0),"")</f>
        <v>KAWAT BONSAI HITAM NO.2 ECERAN</v>
      </c>
      <c r="I556" s="16">
        <v>15.0</v>
      </c>
      <c r="J556" s="5">
        <f>IFNA(VLOOKUP(E556,Master!D:U,14,0),0)</f>
        <v>2000</v>
      </c>
      <c r="K556" s="5">
        <v>0.0</v>
      </c>
      <c r="L556" s="5">
        <f t="shared" si="3"/>
        <v>30000</v>
      </c>
      <c r="M556" s="5">
        <f>IFNA(VLOOKUP(TRIM(E556),Master!D:U,13,0),"")</f>
        <v>1220</v>
      </c>
      <c r="N556" s="5">
        <f t="shared" si="4"/>
        <v>11700</v>
      </c>
      <c r="O556" s="16" t="s">
        <v>28</v>
      </c>
      <c r="P556" s="5">
        <f t="shared" si="9"/>
        <v>39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3" t="s">
        <v>344</v>
      </c>
      <c r="B557" s="13" t="s">
        <v>242</v>
      </c>
      <c r="C557" s="14"/>
      <c r="D557" s="15">
        <v>1.0</v>
      </c>
      <c r="E557" s="1" t="s">
        <v>22</v>
      </c>
      <c r="F557" s="1" t="str">
        <f t="shared" si="1"/>
        <v>28/02/26MT2037</v>
      </c>
      <c r="G557" s="1" t="str">
        <f t="shared" si="2"/>
        <v>C28/02/26</v>
      </c>
      <c r="H557" s="1" t="str">
        <f>IFNA(VLOOKUP(TRIM(E557),Master!D:M,4,0),"")</f>
        <v>PUPUK KOMPOS 5KG</v>
      </c>
      <c r="I557" s="4">
        <v>1.0</v>
      </c>
      <c r="J557" s="5">
        <f>IFNA(VLOOKUP(E557,Master!D:U,14,0),0)</f>
        <v>10000</v>
      </c>
      <c r="K557" s="5">
        <v>0.0</v>
      </c>
      <c r="L557" s="5">
        <f t="shared" si="3"/>
        <v>10000</v>
      </c>
      <c r="M557" s="5">
        <f>IFNA(VLOOKUP(TRIM(E557),Master!D:U,13,0),"")</f>
        <v>5000</v>
      </c>
      <c r="N557" s="5">
        <f t="shared" si="4"/>
        <v>5000</v>
      </c>
      <c r="O557" s="4" t="s">
        <v>19</v>
      </c>
      <c r="P557" s="5">
        <f t="shared" si="9"/>
        <v>50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3" t="s">
        <v>344</v>
      </c>
      <c r="B558" s="13" t="s">
        <v>306</v>
      </c>
      <c r="C558" s="19" t="s">
        <v>353</v>
      </c>
      <c r="D558" s="15">
        <v>1.0</v>
      </c>
      <c r="E558" s="17" t="s">
        <v>42</v>
      </c>
      <c r="F558" s="1" t="str">
        <f t="shared" si="1"/>
        <v>28/02/26PL3042</v>
      </c>
      <c r="G558" s="1" t="str">
        <f t="shared" si="2"/>
        <v>O28/02/26</v>
      </c>
      <c r="H558" s="1" t="str">
        <f>IFNA(VLOOKUP(TRIM(E558),Master!D:M,4,0),"")</f>
        <v>KAWAT BONSAI SILVER NO.2 ECERAN</v>
      </c>
      <c r="I558" s="16">
        <v>4.0</v>
      </c>
      <c r="J558" s="5">
        <f>IFNA(VLOOKUP(E558,Master!D:U,14,0),0)</f>
        <v>1500</v>
      </c>
      <c r="K558" s="5">
        <v>0.0</v>
      </c>
      <c r="L558" s="5">
        <f t="shared" si="3"/>
        <v>6000</v>
      </c>
      <c r="M558" s="5">
        <f>IFNA(VLOOKUP(TRIM(E558),Master!D:U,13,0),"")</f>
        <v>800</v>
      </c>
      <c r="N558" s="5">
        <f t="shared" si="4"/>
        <v>2800</v>
      </c>
      <c r="O558" s="16" t="s">
        <v>28</v>
      </c>
      <c r="P558" s="5">
        <f t="shared" si="9"/>
        <v>46.66666667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3" t="s">
        <v>344</v>
      </c>
      <c r="B559" s="2"/>
      <c r="C559" s="14"/>
      <c r="D559" s="3"/>
      <c r="E559" s="17" t="s">
        <v>183</v>
      </c>
      <c r="F559" s="1" t="str">
        <f t="shared" si="1"/>
        <v>28/02/26PL3046</v>
      </c>
      <c r="G559" s="1" t="str">
        <f t="shared" si="2"/>
        <v>O28/02/26</v>
      </c>
      <c r="H559" s="1" t="str">
        <f>IFNA(VLOOKUP(TRIM(E559),Master!D:M,4,0),"")</f>
        <v>KAWAT BONSAI SILVER NO.3 ECERAN</v>
      </c>
      <c r="I559" s="16">
        <v>8.0</v>
      </c>
      <c r="J559" s="5">
        <f>IFNA(VLOOKUP(E559,Master!D:U,14,0),0)</f>
        <v>3000</v>
      </c>
      <c r="K559" s="5">
        <v>0.0</v>
      </c>
      <c r="L559" s="5">
        <f t="shared" si="3"/>
        <v>24000</v>
      </c>
      <c r="M559" s="5">
        <f>IFNA(VLOOKUP(TRIM(E559),Master!D:U,13,0),"")</f>
        <v>2000</v>
      </c>
      <c r="N559" s="5">
        <f t="shared" si="4"/>
        <v>8000</v>
      </c>
      <c r="O559" s="16" t="s">
        <v>28</v>
      </c>
      <c r="P559" s="5">
        <f t="shared" si="9"/>
        <v>33.33333333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3" t="s">
        <v>344</v>
      </c>
      <c r="B560" s="2"/>
      <c r="C560" s="14"/>
      <c r="D560" s="3"/>
      <c r="E560" s="17" t="s">
        <v>42</v>
      </c>
      <c r="F560" s="1" t="str">
        <f t="shared" si="1"/>
        <v>28/02/26PL3042</v>
      </c>
      <c r="G560" s="1" t="str">
        <f t="shared" si="2"/>
        <v>O28/02/26</v>
      </c>
      <c r="H560" s="1" t="str">
        <f>IFNA(VLOOKUP(TRIM(E560),Master!D:M,4,0),"")</f>
        <v>KAWAT BONSAI SILVER NO.2 ECERAN</v>
      </c>
      <c r="I560" s="16">
        <v>7.0</v>
      </c>
      <c r="J560" s="5">
        <f>IFNA(VLOOKUP(E560,Master!D:U,14,0),0)</f>
        <v>1500</v>
      </c>
      <c r="K560" s="5">
        <v>0.0</v>
      </c>
      <c r="L560" s="5">
        <f t="shared" si="3"/>
        <v>10500</v>
      </c>
      <c r="M560" s="5">
        <f>IFNA(VLOOKUP(TRIM(E560),Master!D:U,13,0),"")</f>
        <v>800</v>
      </c>
      <c r="N560" s="5">
        <f t="shared" si="4"/>
        <v>4900</v>
      </c>
      <c r="O560" s="16" t="s">
        <v>28</v>
      </c>
      <c r="P560" s="5">
        <f t="shared" si="9"/>
        <v>46.66666667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3" t="s">
        <v>344</v>
      </c>
      <c r="B561" s="13" t="s">
        <v>290</v>
      </c>
      <c r="C561" s="14"/>
      <c r="D561" s="15">
        <v>1.0</v>
      </c>
      <c r="E561" s="1" t="s">
        <v>354</v>
      </c>
      <c r="F561" s="1" t="str">
        <f t="shared" si="1"/>
        <v>28/02/26MT2047</v>
      </c>
      <c r="G561" s="1" t="str">
        <f t="shared" si="2"/>
        <v>C28/02/26</v>
      </c>
      <c r="H561" s="1" t="str">
        <f>IFNA(VLOOKUP(TRIM(E561),Master!D:M,4,0),"")</f>
        <v>TANAH MURNI 10KG</v>
      </c>
      <c r="I561" s="16">
        <v>2.0</v>
      </c>
      <c r="J561" s="5">
        <f>IFNA(VLOOKUP(E561,Master!D:U,14,0),0)</f>
        <v>10000</v>
      </c>
      <c r="K561" s="5">
        <v>0.0</v>
      </c>
      <c r="L561" s="5">
        <f t="shared" si="3"/>
        <v>20000</v>
      </c>
      <c r="M561" s="5">
        <f>IFNA(VLOOKUP(TRIM(E561),Master!D:U,13,0),"")</f>
        <v>5000</v>
      </c>
      <c r="N561" s="5">
        <f t="shared" si="4"/>
        <v>10000</v>
      </c>
      <c r="O561" s="4" t="s">
        <v>19</v>
      </c>
      <c r="P561" s="5">
        <f t="shared" si="9"/>
        <v>50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3" t="s">
        <v>344</v>
      </c>
      <c r="B562" s="2"/>
      <c r="C562" s="14"/>
      <c r="D562" s="3"/>
      <c r="E562" s="1" t="s">
        <v>355</v>
      </c>
      <c r="F562" s="1" t="str">
        <f t="shared" si="1"/>
        <v>28/02/26PL3170</v>
      </c>
      <c r="G562" s="1" t="str">
        <f t="shared" si="2"/>
        <v>C28/02/26</v>
      </c>
      <c r="H562" s="1" t="str">
        <f>IFNA(VLOOKUP(TRIM(E562),Master!D:M,4,0),"")</f>
        <v>POT GMP LECI HITAM 40</v>
      </c>
      <c r="I562" s="4">
        <v>1.0</v>
      </c>
      <c r="J562" s="5">
        <f>IFNA(VLOOKUP(E562,Master!D:U,14,0),0)</f>
        <v>26000</v>
      </c>
      <c r="K562" s="5">
        <v>0.0</v>
      </c>
      <c r="L562" s="5">
        <f t="shared" si="3"/>
        <v>26000</v>
      </c>
      <c r="M562" s="5">
        <f>IFNA(VLOOKUP(TRIM(E562),Master!D:U,13,0),"")</f>
        <v>20750</v>
      </c>
      <c r="N562" s="5">
        <f t="shared" si="4"/>
        <v>5250</v>
      </c>
      <c r="O562" s="4" t="s">
        <v>19</v>
      </c>
      <c r="P562" s="5">
        <f t="shared" si="9"/>
        <v>20.19230769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3" t="s">
        <v>344</v>
      </c>
      <c r="B563" s="13" t="s">
        <v>290</v>
      </c>
      <c r="C563" s="14"/>
      <c r="D563" s="15">
        <v>1.0</v>
      </c>
      <c r="E563" s="1" t="s">
        <v>102</v>
      </c>
      <c r="F563" s="1" t="str">
        <f t="shared" si="1"/>
        <v>28/02/26PS4011</v>
      </c>
      <c r="G563" s="1" t="str">
        <f t="shared" si="2"/>
        <v>C28/02/26</v>
      </c>
      <c r="H563" s="1" t="str">
        <f>IFNA(VLOOKUP(TRIM(E563),Master!D:M,4,0),"")</f>
        <v>STARLON 665 EC HERBISIDA 100ML</v>
      </c>
      <c r="I563" s="16">
        <v>3.0</v>
      </c>
      <c r="J563" s="5">
        <f>IFNA(VLOOKUP(E563,Master!D:U,14,0),0)</f>
        <v>45000</v>
      </c>
      <c r="K563" s="5">
        <v>0.0</v>
      </c>
      <c r="L563" s="5">
        <f t="shared" si="3"/>
        <v>135000</v>
      </c>
      <c r="M563" s="5">
        <f>IFNA(VLOOKUP(TRIM(E563),Master!D:U,13,0),"")</f>
        <v>35000</v>
      </c>
      <c r="N563" s="5">
        <f t="shared" si="4"/>
        <v>30000</v>
      </c>
      <c r="O563" s="4" t="s">
        <v>19</v>
      </c>
      <c r="P563" s="5">
        <f t="shared" si="9"/>
        <v>22.22222222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3" t="s">
        <v>344</v>
      </c>
      <c r="B564" s="13" t="s">
        <v>356</v>
      </c>
      <c r="C564" s="14"/>
      <c r="D564" s="15">
        <v>1.0</v>
      </c>
      <c r="E564" s="1" t="s">
        <v>140</v>
      </c>
      <c r="F564" s="1" t="str">
        <f t="shared" si="1"/>
        <v>28/02/26MT2031</v>
      </c>
      <c r="G564" s="1" t="str">
        <f t="shared" si="2"/>
        <v>C28/02/26</v>
      </c>
      <c r="H564" s="1" t="str">
        <f>IFNA(VLOOKUP(TRIM(E564),Master!D:M,4,0),"")</f>
        <v>PINE BARK</v>
      </c>
      <c r="I564" s="16">
        <v>10.0</v>
      </c>
      <c r="J564" s="5">
        <f>IFNA(VLOOKUP(E564,Master!D:U,14,0),0)</f>
        <v>20000</v>
      </c>
      <c r="K564" s="18">
        <v>40000.0</v>
      </c>
      <c r="L564" s="5">
        <f t="shared" si="3"/>
        <v>160000</v>
      </c>
      <c r="M564" s="5">
        <f>IFNA(VLOOKUP(TRIM(E564),Master!D:U,13,0),"")</f>
        <v>12000</v>
      </c>
      <c r="N564" s="5">
        <f t="shared" si="4"/>
        <v>40000</v>
      </c>
      <c r="O564" s="4" t="s">
        <v>19</v>
      </c>
      <c r="P564" s="5">
        <f t="shared" si="9"/>
        <v>40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3" t="s">
        <v>344</v>
      </c>
      <c r="B565" s="13" t="s">
        <v>357</v>
      </c>
      <c r="C565" s="14"/>
      <c r="D565" s="15">
        <v>1.0</v>
      </c>
      <c r="E565" s="1" t="s">
        <v>355</v>
      </c>
      <c r="F565" s="1" t="str">
        <f t="shared" si="1"/>
        <v>28/02/26PL3170</v>
      </c>
      <c r="G565" s="1" t="str">
        <f t="shared" si="2"/>
        <v>C28/02/26</v>
      </c>
      <c r="H565" s="1" t="str">
        <f>IFNA(VLOOKUP(TRIM(E565),Master!D:M,4,0),"")</f>
        <v>POT GMP LECI HITAM 40</v>
      </c>
      <c r="I565" s="16">
        <v>2.0</v>
      </c>
      <c r="J565" s="5">
        <f>IFNA(VLOOKUP(E565,Master!D:U,14,0),0)</f>
        <v>26000</v>
      </c>
      <c r="K565" s="5">
        <v>0.0</v>
      </c>
      <c r="L565" s="5">
        <f t="shared" si="3"/>
        <v>52000</v>
      </c>
      <c r="M565" s="5">
        <f>IFNA(VLOOKUP(TRIM(E565),Master!D:U,13,0),"")</f>
        <v>20750</v>
      </c>
      <c r="N565" s="5">
        <f t="shared" si="4"/>
        <v>10500</v>
      </c>
      <c r="O565" s="4" t="s">
        <v>19</v>
      </c>
      <c r="P565" s="5">
        <f t="shared" si="9"/>
        <v>20.19230769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3" t="s">
        <v>344</v>
      </c>
      <c r="B566" s="2"/>
      <c r="C566" s="14"/>
      <c r="D566" s="3"/>
      <c r="E566" s="1" t="s">
        <v>34</v>
      </c>
      <c r="F566" s="1" t="str">
        <f t="shared" si="1"/>
        <v>28/02/26MT2053</v>
      </c>
      <c r="G566" s="1" t="str">
        <f t="shared" si="2"/>
        <v>C28/02/26</v>
      </c>
      <c r="H566" s="1" t="str">
        <f>IFNA(VLOOKUP(TRIM(E566),Master!D:M,4,0),"")</f>
        <v>TANAH SUBUR 25KG BINTANG TANI</v>
      </c>
      <c r="I566" s="16">
        <v>2.0</v>
      </c>
      <c r="J566" s="5">
        <f>IFNA(VLOOKUP(E566,Master!D:U,14,0),0)</f>
        <v>25000</v>
      </c>
      <c r="K566" s="5">
        <v>0.0</v>
      </c>
      <c r="L566" s="5">
        <f t="shared" si="3"/>
        <v>50000</v>
      </c>
      <c r="M566" s="5">
        <f>IFNA(VLOOKUP(TRIM(E566),Master!D:U,13,0),"")</f>
        <v>15000</v>
      </c>
      <c r="N566" s="5">
        <f t="shared" si="4"/>
        <v>20000</v>
      </c>
      <c r="O566" s="4" t="s">
        <v>19</v>
      </c>
      <c r="P566" s="5">
        <f t="shared" si="9"/>
        <v>40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3" t="s">
        <v>344</v>
      </c>
      <c r="B567" s="2"/>
      <c r="C567" s="14"/>
      <c r="D567" s="3"/>
      <c r="E567" s="1"/>
      <c r="F567" s="1" t="str">
        <f t="shared" si="1"/>
        <v>28/02/26</v>
      </c>
      <c r="G567" s="1" t="str">
        <f t="shared" si="2"/>
        <v>C28/02/26</v>
      </c>
      <c r="H567" s="1" t="str">
        <f>IFNA(VLOOKUP(TRIM(E567),Master!D:M,4,0),"")</f>
        <v/>
      </c>
      <c r="I567" s="4">
        <v>1.0</v>
      </c>
      <c r="J567" s="5">
        <f>IFNA(VLOOKUP(E567,Master!D:U,14,0),0)</f>
        <v>0</v>
      </c>
      <c r="K567" s="5">
        <v>0.0</v>
      </c>
      <c r="L567" s="5">
        <f t="shared" si="3"/>
        <v>0</v>
      </c>
      <c r="M567" s="5" t="str">
        <f>IFNA(VLOOKUP(TRIM(E567),Master!D:U,13,0),"")</f>
        <v/>
      </c>
      <c r="N567" s="5">
        <f t="shared" si="4"/>
        <v>0</v>
      </c>
      <c r="O567" s="4" t="s">
        <v>19</v>
      </c>
      <c r="P567" s="5">
        <f t="shared" si="9"/>
        <v>0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3" t="s">
        <v>344</v>
      </c>
      <c r="B568" s="2"/>
      <c r="C568" s="14"/>
      <c r="D568" s="3"/>
      <c r="E568" s="1"/>
      <c r="F568" s="1" t="str">
        <f t="shared" si="1"/>
        <v>28/02/26</v>
      </c>
      <c r="G568" s="1" t="str">
        <f t="shared" si="2"/>
        <v>C28/02/26</v>
      </c>
      <c r="H568" s="1" t="str">
        <f>IFNA(VLOOKUP(TRIM(E568),Master!D:M,4,0),"")</f>
        <v/>
      </c>
      <c r="I568" s="4">
        <v>1.0</v>
      </c>
      <c r="J568" s="5">
        <f>IFNA(VLOOKUP(E568,Master!D:U,14,0),0)</f>
        <v>0</v>
      </c>
      <c r="K568" s="5">
        <v>0.0</v>
      </c>
      <c r="L568" s="5">
        <f t="shared" si="3"/>
        <v>0</v>
      </c>
      <c r="M568" s="5" t="str">
        <f>IFNA(VLOOKUP(TRIM(E568),Master!D:U,13,0),"")</f>
        <v/>
      </c>
      <c r="N568" s="5">
        <f t="shared" si="4"/>
        <v>0</v>
      </c>
      <c r="O568" s="4" t="s">
        <v>19</v>
      </c>
      <c r="P568" s="5">
        <f t="shared" si="9"/>
        <v>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3" t="s">
        <v>344</v>
      </c>
      <c r="B569" s="2"/>
      <c r="C569" s="14"/>
      <c r="D569" s="3"/>
      <c r="E569" s="1"/>
      <c r="F569" s="1" t="str">
        <f t="shared" si="1"/>
        <v>28/02/26</v>
      </c>
      <c r="G569" s="1" t="str">
        <f t="shared" si="2"/>
        <v>C28/02/26</v>
      </c>
      <c r="H569" s="1" t="str">
        <f>IFNA(VLOOKUP(TRIM(E569),Master!D:M,4,0),"")</f>
        <v/>
      </c>
      <c r="I569" s="4">
        <v>1.0</v>
      </c>
      <c r="J569" s="5">
        <f>IFNA(VLOOKUP(E569,Master!D:U,14,0),0)</f>
        <v>0</v>
      </c>
      <c r="K569" s="5">
        <v>0.0</v>
      </c>
      <c r="L569" s="5">
        <f t="shared" si="3"/>
        <v>0</v>
      </c>
      <c r="M569" s="5" t="str">
        <f>IFNA(VLOOKUP(TRIM(E569),Master!D:U,13,0),"")</f>
        <v/>
      </c>
      <c r="N569" s="5">
        <f t="shared" si="4"/>
        <v>0</v>
      </c>
      <c r="O569" s="4" t="s">
        <v>19</v>
      </c>
      <c r="P569" s="5">
        <f t="shared" si="9"/>
        <v>0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3" t="s">
        <v>344</v>
      </c>
      <c r="B570" s="2"/>
      <c r="C570" s="14"/>
      <c r="D570" s="3"/>
      <c r="E570" s="1"/>
      <c r="F570" s="1" t="str">
        <f t="shared" si="1"/>
        <v>28/02/26</v>
      </c>
      <c r="G570" s="1" t="str">
        <f t="shared" si="2"/>
        <v>C28/02/26</v>
      </c>
      <c r="H570" s="1" t="str">
        <f>IFNA(VLOOKUP(TRIM(E570),Master!D:M,4,0),"")</f>
        <v/>
      </c>
      <c r="I570" s="4">
        <v>1.0</v>
      </c>
      <c r="J570" s="5">
        <f>IFNA(VLOOKUP(E570,Master!D:U,14,0),0)</f>
        <v>0</v>
      </c>
      <c r="K570" s="5">
        <v>0.0</v>
      </c>
      <c r="L570" s="5">
        <f t="shared" si="3"/>
        <v>0</v>
      </c>
      <c r="M570" s="5" t="str">
        <f>IFNA(VLOOKUP(TRIM(E570),Master!D:U,13,0),"")</f>
        <v/>
      </c>
      <c r="N570" s="5">
        <f t="shared" si="4"/>
        <v>0</v>
      </c>
      <c r="O570" s="4" t="s">
        <v>19</v>
      </c>
      <c r="P570" s="5">
        <f t="shared" si="9"/>
        <v>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3" t="s">
        <v>344</v>
      </c>
      <c r="B571" s="2"/>
      <c r="C571" s="14"/>
      <c r="D571" s="3"/>
      <c r="E571" s="1"/>
      <c r="F571" s="1" t="str">
        <f t="shared" si="1"/>
        <v>28/02/26</v>
      </c>
      <c r="G571" s="1" t="str">
        <f t="shared" si="2"/>
        <v>C28/02/26</v>
      </c>
      <c r="H571" s="1" t="str">
        <f>IFNA(VLOOKUP(TRIM(E571),Master!D:M,4,0),"")</f>
        <v/>
      </c>
      <c r="I571" s="4">
        <v>1.0</v>
      </c>
      <c r="J571" s="5">
        <f>IFNA(VLOOKUP(E571,Master!D:U,14,0),0)</f>
        <v>0</v>
      </c>
      <c r="K571" s="5">
        <v>0.0</v>
      </c>
      <c r="L571" s="5">
        <f t="shared" si="3"/>
        <v>0</v>
      </c>
      <c r="M571" s="5" t="str">
        <f>IFNA(VLOOKUP(TRIM(E571),Master!D:U,13,0),"")</f>
        <v/>
      </c>
      <c r="N571" s="5">
        <f t="shared" si="4"/>
        <v>0</v>
      </c>
      <c r="O571" s="4" t="s">
        <v>19</v>
      </c>
      <c r="P571" s="5">
        <f t="shared" si="9"/>
        <v>0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3" t="s">
        <v>344</v>
      </c>
      <c r="B572" s="2"/>
      <c r="C572" s="14"/>
      <c r="D572" s="3"/>
      <c r="E572" s="1"/>
      <c r="F572" s="1" t="str">
        <f t="shared" si="1"/>
        <v>28/02/26</v>
      </c>
      <c r="G572" s="1" t="str">
        <f t="shared" si="2"/>
        <v>C28/02/26</v>
      </c>
      <c r="H572" s="1" t="str">
        <f>IFNA(VLOOKUP(TRIM(E572),Master!D:M,4,0),"")</f>
        <v/>
      </c>
      <c r="I572" s="4">
        <v>1.0</v>
      </c>
      <c r="J572" s="5">
        <f>IFNA(VLOOKUP(E572,Master!D:U,14,0),0)</f>
        <v>0</v>
      </c>
      <c r="K572" s="5">
        <v>0.0</v>
      </c>
      <c r="L572" s="5">
        <f t="shared" si="3"/>
        <v>0</v>
      </c>
      <c r="M572" s="5" t="str">
        <f>IFNA(VLOOKUP(TRIM(E572),Master!D:U,13,0),"")</f>
        <v/>
      </c>
      <c r="N572" s="5">
        <f t="shared" si="4"/>
        <v>0</v>
      </c>
      <c r="O572" s="4" t="s">
        <v>19</v>
      </c>
      <c r="P572" s="5">
        <f t="shared" si="9"/>
        <v>0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3" t="s">
        <v>344</v>
      </c>
      <c r="B573" s="2"/>
      <c r="C573" s="14"/>
      <c r="D573" s="3"/>
      <c r="E573" s="1"/>
      <c r="F573" s="1" t="str">
        <f t="shared" si="1"/>
        <v>28/02/26</v>
      </c>
      <c r="G573" s="1" t="str">
        <f t="shared" si="2"/>
        <v>C28/02/26</v>
      </c>
      <c r="H573" s="1" t="str">
        <f>IFNA(VLOOKUP(TRIM(E573),Master!D:M,4,0),"")</f>
        <v/>
      </c>
      <c r="I573" s="4">
        <v>1.0</v>
      </c>
      <c r="J573" s="5">
        <f>IFNA(VLOOKUP(E573,Master!D:U,14,0),0)</f>
        <v>0</v>
      </c>
      <c r="K573" s="5">
        <v>0.0</v>
      </c>
      <c r="L573" s="5">
        <f t="shared" si="3"/>
        <v>0</v>
      </c>
      <c r="M573" s="5" t="str">
        <f>IFNA(VLOOKUP(TRIM(E573),Master!D:U,13,0),"")</f>
        <v/>
      </c>
      <c r="N573" s="5">
        <f t="shared" si="4"/>
        <v>0</v>
      </c>
      <c r="O573" s="4" t="s">
        <v>19</v>
      </c>
      <c r="P573" s="5">
        <f t="shared" si="9"/>
        <v>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3" t="s">
        <v>344</v>
      </c>
      <c r="B574" s="2"/>
      <c r="C574" s="14"/>
      <c r="D574" s="3"/>
      <c r="E574" s="1"/>
      <c r="F574" s="1" t="str">
        <f t="shared" si="1"/>
        <v>28/02/26</v>
      </c>
      <c r="G574" s="1" t="str">
        <f t="shared" si="2"/>
        <v>C28/02/26</v>
      </c>
      <c r="H574" s="1" t="str">
        <f>IFNA(VLOOKUP(TRIM(E574),Master!D:M,4,0),"")</f>
        <v/>
      </c>
      <c r="I574" s="4">
        <v>1.0</v>
      </c>
      <c r="J574" s="5">
        <f>IFNA(VLOOKUP(E574,Master!D:U,14,0),0)</f>
        <v>0</v>
      </c>
      <c r="K574" s="5">
        <v>0.0</v>
      </c>
      <c r="L574" s="5">
        <f t="shared" si="3"/>
        <v>0</v>
      </c>
      <c r="M574" s="5" t="str">
        <f>IFNA(VLOOKUP(TRIM(E574),Master!D:U,13,0),"")</f>
        <v/>
      </c>
      <c r="N574" s="5">
        <f t="shared" si="4"/>
        <v>0</v>
      </c>
      <c r="O574" s="4" t="s">
        <v>19</v>
      </c>
      <c r="P574" s="5">
        <f t="shared" si="9"/>
        <v>0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3" t="s">
        <v>344</v>
      </c>
      <c r="B575" s="2"/>
      <c r="C575" s="14"/>
      <c r="D575" s="3"/>
      <c r="E575" s="1"/>
      <c r="F575" s="1" t="str">
        <f t="shared" si="1"/>
        <v>28/02/26</v>
      </c>
      <c r="G575" s="1" t="str">
        <f t="shared" si="2"/>
        <v>C28/02/26</v>
      </c>
      <c r="H575" s="1" t="str">
        <f>IFNA(VLOOKUP(TRIM(E575),Master!D:M,4,0),"")</f>
        <v/>
      </c>
      <c r="I575" s="4">
        <v>1.0</v>
      </c>
      <c r="J575" s="5">
        <f>IFNA(VLOOKUP(E575,Master!D:U,14,0),0)</f>
        <v>0</v>
      </c>
      <c r="K575" s="5">
        <v>0.0</v>
      </c>
      <c r="L575" s="5">
        <f t="shared" si="3"/>
        <v>0</v>
      </c>
      <c r="M575" s="5" t="str">
        <f>IFNA(VLOOKUP(TRIM(E575),Master!D:U,13,0),"")</f>
        <v/>
      </c>
      <c r="N575" s="5">
        <f t="shared" si="4"/>
        <v>0</v>
      </c>
      <c r="O575" s="4" t="s">
        <v>19</v>
      </c>
      <c r="P575" s="5">
        <f t="shared" si="9"/>
        <v>0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3" t="s">
        <v>344</v>
      </c>
      <c r="B576" s="2"/>
      <c r="C576" s="14"/>
      <c r="D576" s="3"/>
      <c r="E576" s="1"/>
      <c r="F576" s="1" t="str">
        <f t="shared" si="1"/>
        <v>28/02/26</v>
      </c>
      <c r="G576" s="1" t="str">
        <f t="shared" si="2"/>
        <v>C28/02/26</v>
      </c>
      <c r="H576" s="1" t="str">
        <f>IFNA(VLOOKUP(TRIM(E576),Master!D:M,4,0),"")</f>
        <v/>
      </c>
      <c r="I576" s="4">
        <v>1.0</v>
      </c>
      <c r="J576" s="5">
        <f>IFNA(VLOOKUP(E576,Master!D:U,14,0),0)</f>
        <v>0</v>
      </c>
      <c r="K576" s="5">
        <v>0.0</v>
      </c>
      <c r="L576" s="5">
        <f t="shared" si="3"/>
        <v>0</v>
      </c>
      <c r="M576" s="5" t="str">
        <f>IFNA(VLOOKUP(TRIM(E576),Master!D:U,13,0),"")</f>
        <v/>
      </c>
      <c r="N576" s="5">
        <f t="shared" si="4"/>
        <v>0</v>
      </c>
      <c r="O576" s="4" t="s">
        <v>19</v>
      </c>
      <c r="P576" s="5">
        <f t="shared" si="9"/>
        <v>0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3" t="s">
        <v>344</v>
      </c>
      <c r="B577" s="2"/>
      <c r="C577" s="14"/>
      <c r="D577" s="3"/>
      <c r="E577" s="1"/>
      <c r="F577" s="1" t="str">
        <f t="shared" si="1"/>
        <v>28/02/26</v>
      </c>
      <c r="G577" s="1" t="str">
        <f t="shared" si="2"/>
        <v>C28/02/26</v>
      </c>
      <c r="H577" s="1" t="str">
        <f>IFNA(VLOOKUP(TRIM(E577),Master!D:M,4,0),"")</f>
        <v/>
      </c>
      <c r="I577" s="4">
        <v>1.0</v>
      </c>
      <c r="J577" s="5">
        <f>IFNA(VLOOKUP(E577,Master!D:U,14,0),0)</f>
        <v>0</v>
      </c>
      <c r="K577" s="5">
        <v>0.0</v>
      </c>
      <c r="L577" s="5">
        <f t="shared" si="3"/>
        <v>0</v>
      </c>
      <c r="M577" s="5" t="str">
        <f>IFNA(VLOOKUP(TRIM(E577),Master!D:U,13,0),"")</f>
        <v/>
      </c>
      <c r="N577" s="5">
        <f t="shared" si="4"/>
        <v>0</v>
      </c>
      <c r="O577" s="4" t="s">
        <v>19</v>
      </c>
      <c r="P577" s="5">
        <f t="shared" si="9"/>
        <v>0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2"/>
      <c r="B578" s="2"/>
      <c r="C578" s="14"/>
      <c r="D578" s="3"/>
      <c r="E578" s="1"/>
      <c r="F578" s="1"/>
      <c r="G578" s="1"/>
      <c r="H578" s="1"/>
      <c r="I578" s="4"/>
      <c r="J578" s="5"/>
      <c r="K578" s="5"/>
      <c r="L578" s="5"/>
      <c r="M578" s="5"/>
      <c r="N578" s="5"/>
      <c r="O578" s="4"/>
      <c r="P578" s="5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2"/>
      <c r="B579" s="2"/>
      <c r="C579" s="14"/>
      <c r="D579" s="3"/>
      <c r="E579" s="1"/>
      <c r="F579" s="1"/>
      <c r="G579" s="1"/>
      <c r="H579" s="1"/>
      <c r="I579" s="4"/>
      <c r="J579" s="5"/>
      <c r="K579" s="5"/>
      <c r="L579" s="5"/>
      <c r="M579" s="5"/>
      <c r="N579" s="5"/>
      <c r="O579" s="4"/>
      <c r="P579" s="5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2"/>
      <c r="B580" s="2"/>
      <c r="C580" s="14"/>
      <c r="D580" s="3"/>
      <c r="E580" s="1"/>
      <c r="F580" s="1"/>
      <c r="G580" s="1"/>
      <c r="H580" s="1"/>
      <c r="I580" s="4"/>
      <c r="J580" s="5"/>
      <c r="K580" s="5"/>
      <c r="L580" s="5"/>
      <c r="M580" s="5"/>
      <c r="N580" s="5"/>
      <c r="O580" s="4"/>
      <c r="P580" s="5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2"/>
      <c r="B581" s="2"/>
      <c r="C581" s="14"/>
      <c r="D581" s="3"/>
      <c r="E581" s="1"/>
      <c r="F581" s="1"/>
      <c r="G581" s="1"/>
      <c r="H581" s="1"/>
      <c r="I581" s="4"/>
      <c r="J581" s="5"/>
      <c r="K581" s="5"/>
      <c r="L581" s="5"/>
      <c r="M581" s="5"/>
      <c r="N581" s="5"/>
      <c r="O581" s="4"/>
      <c r="P581" s="5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2"/>
      <c r="B582" s="2"/>
      <c r="C582" s="14"/>
      <c r="D582" s="3"/>
      <c r="E582" s="1"/>
      <c r="F582" s="1"/>
      <c r="G582" s="1"/>
      <c r="H582" s="1"/>
      <c r="I582" s="4"/>
      <c r="J582" s="5"/>
      <c r="K582" s="5"/>
      <c r="L582" s="5"/>
      <c r="M582" s="5"/>
      <c r="N582" s="5"/>
      <c r="O582" s="4"/>
      <c r="P582" s="5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2"/>
      <c r="B583" s="2"/>
      <c r="C583" s="14"/>
      <c r="D583" s="3"/>
      <c r="E583" s="1"/>
      <c r="F583" s="1"/>
      <c r="G583" s="1"/>
      <c r="H583" s="1"/>
      <c r="I583" s="4"/>
      <c r="J583" s="5"/>
      <c r="K583" s="5"/>
      <c r="L583" s="5"/>
      <c r="M583" s="5"/>
      <c r="N583" s="5"/>
      <c r="O583" s="4"/>
      <c r="P583" s="5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2"/>
      <c r="B584" s="2"/>
      <c r="C584" s="14"/>
      <c r="D584" s="3"/>
      <c r="E584" s="1"/>
      <c r="F584" s="1"/>
      <c r="G584" s="1"/>
      <c r="H584" s="1"/>
      <c r="I584" s="4"/>
      <c r="J584" s="5"/>
      <c r="K584" s="5"/>
      <c r="L584" s="5"/>
      <c r="M584" s="5"/>
      <c r="N584" s="5"/>
      <c r="O584" s="4"/>
      <c r="P584" s="5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2"/>
      <c r="B585" s="2"/>
      <c r="C585" s="14"/>
      <c r="D585" s="3"/>
      <c r="E585" s="1"/>
      <c r="F585" s="1"/>
      <c r="G585" s="1"/>
      <c r="H585" s="1"/>
      <c r="I585" s="4"/>
      <c r="J585" s="5"/>
      <c r="K585" s="5"/>
      <c r="L585" s="5"/>
      <c r="M585" s="5"/>
      <c r="N585" s="5"/>
      <c r="O585" s="4"/>
      <c r="P585" s="5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2"/>
      <c r="B586" s="2"/>
      <c r="C586" s="14"/>
      <c r="D586" s="3"/>
      <c r="E586" s="1"/>
      <c r="F586" s="1"/>
      <c r="G586" s="1"/>
      <c r="H586" s="1"/>
      <c r="I586" s="4"/>
      <c r="J586" s="5"/>
      <c r="K586" s="5"/>
      <c r="L586" s="5"/>
      <c r="M586" s="5"/>
      <c r="N586" s="5"/>
      <c r="O586" s="4"/>
      <c r="P586" s="5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2"/>
      <c r="B587" s="2"/>
      <c r="C587" s="14"/>
      <c r="D587" s="3"/>
      <c r="E587" s="1"/>
      <c r="F587" s="1"/>
      <c r="G587" s="1"/>
      <c r="H587" s="1"/>
      <c r="I587" s="4"/>
      <c r="J587" s="5"/>
      <c r="K587" s="5"/>
      <c r="L587" s="5"/>
      <c r="M587" s="5"/>
      <c r="N587" s="5"/>
      <c r="O587" s="4"/>
      <c r="P587" s="5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2"/>
      <c r="B588" s="2"/>
      <c r="C588" s="14"/>
      <c r="D588" s="3"/>
      <c r="E588" s="1"/>
      <c r="F588" s="1"/>
      <c r="G588" s="1"/>
      <c r="H588" s="1"/>
      <c r="I588" s="4"/>
      <c r="J588" s="5"/>
      <c r="K588" s="5"/>
      <c r="L588" s="5"/>
      <c r="M588" s="5"/>
      <c r="N588" s="5"/>
      <c r="O588" s="4"/>
      <c r="P588" s="5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2"/>
      <c r="B589" s="2"/>
      <c r="C589" s="14"/>
      <c r="D589" s="3"/>
      <c r="E589" s="1"/>
      <c r="F589" s="1"/>
      <c r="G589" s="1"/>
      <c r="H589" s="1"/>
      <c r="I589" s="4"/>
      <c r="J589" s="5"/>
      <c r="K589" s="5"/>
      <c r="L589" s="5"/>
      <c r="M589" s="5"/>
      <c r="N589" s="5"/>
      <c r="O589" s="4"/>
      <c r="P589" s="5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2"/>
      <c r="B590" s="2"/>
      <c r="C590" s="14"/>
      <c r="D590" s="3"/>
      <c r="E590" s="1"/>
      <c r="F590" s="1"/>
      <c r="G590" s="1"/>
      <c r="H590" s="1"/>
      <c r="I590" s="4"/>
      <c r="J590" s="5"/>
      <c r="K590" s="5"/>
      <c r="L590" s="5"/>
      <c r="M590" s="5"/>
      <c r="N590" s="5"/>
      <c r="O590" s="4"/>
      <c r="P590" s="5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2"/>
      <c r="B591" s="2"/>
      <c r="C591" s="14"/>
      <c r="D591" s="3"/>
      <c r="E591" s="1"/>
      <c r="F591" s="1"/>
      <c r="G591" s="1"/>
      <c r="H591" s="1"/>
      <c r="I591" s="4"/>
      <c r="J591" s="5"/>
      <c r="K591" s="5"/>
      <c r="L591" s="5"/>
      <c r="M591" s="5"/>
      <c r="N591" s="5"/>
      <c r="O591" s="4"/>
      <c r="P591" s="5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2"/>
      <c r="B592" s="2"/>
      <c r="C592" s="14"/>
      <c r="D592" s="3"/>
      <c r="E592" s="1"/>
      <c r="F592" s="1"/>
      <c r="G592" s="1"/>
      <c r="H592" s="1"/>
      <c r="I592" s="4"/>
      <c r="J592" s="5"/>
      <c r="K592" s="5"/>
      <c r="L592" s="5"/>
      <c r="M592" s="5"/>
      <c r="N592" s="5"/>
      <c r="O592" s="4"/>
      <c r="P592" s="5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2"/>
      <c r="B593" s="2"/>
      <c r="C593" s="14"/>
      <c r="D593" s="3"/>
      <c r="E593" s="1"/>
      <c r="F593" s="1"/>
      <c r="G593" s="1"/>
      <c r="H593" s="1"/>
      <c r="I593" s="4"/>
      <c r="J593" s="5"/>
      <c r="K593" s="5"/>
      <c r="L593" s="5"/>
      <c r="M593" s="5"/>
      <c r="N593" s="5"/>
      <c r="O593" s="4"/>
      <c r="P593" s="5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2"/>
      <c r="B594" s="2"/>
      <c r="C594" s="14"/>
      <c r="D594" s="3"/>
      <c r="E594" s="1"/>
      <c r="F594" s="1"/>
      <c r="G594" s="1"/>
      <c r="H594" s="1"/>
      <c r="I594" s="4"/>
      <c r="J594" s="5"/>
      <c r="K594" s="5"/>
      <c r="L594" s="5"/>
      <c r="M594" s="5"/>
      <c r="N594" s="5"/>
      <c r="O594" s="4"/>
      <c r="P594" s="5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2"/>
      <c r="B595" s="2"/>
      <c r="C595" s="14"/>
      <c r="D595" s="3"/>
      <c r="E595" s="1"/>
      <c r="F595" s="1"/>
      <c r="G595" s="1"/>
      <c r="H595" s="1"/>
      <c r="I595" s="4"/>
      <c r="J595" s="5"/>
      <c r="K595" s="5"/>
      <c r="L595" s="5"/>
      <c r="M595" s="5"/>
      <c r="N595" s="5"/>
      <c r="O595" s="4"/>
      <c r="P595" s="5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2"/>
      <c r="B596" s="2"/>
      <c r="C596" s="14"/>
      <c r="D596" s="3"/>
      <c r="E596" s="1"/>
      <c r="F596" s="1"/>
      <c r="G596" s="1"/>
      <c r="H596" s="1"/>
      <c r="I596" s="4"/>
      <c r="J596" s="5"/>
      <c r="K596" s="5"/>
      <c r="L596" s="5"/>
      <c r="M596" s="5"/>
      <c r="N596" s="5"/>
      <c r="O596" s="4"/>
      <c r="P596" s="5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2"/>
      <c r="B597" s="2"/>
      <c r="C597" s="14"/>
      <c r="D597" s="3"/>
      <c r="E597" s="1"/>
      <c r="F597" s="1"/>
      <c r="G597" s="1"/>
      <c r="H597" s="1"/>
      <c r="I597" s="4"/>
      <c r="J597" s="5"/>
      <c r="K597" s="5"/>
      <c r="L597" s="5"/>
      <c r="M597" s="5"/>
      <c r="N597" s="5"/>
      <c r="O597" s="4"/>
      <c r="P597" s="5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2"/>
      <c r="B598" s="2"/>
      <c r="C598" s="14"/>
      <c r="D598" s="3"/>
      <c r="E598" s="1"/>
      <c r="F598" s="1"/>
      <c r="G598" s="1"/>
      <c r="H598" s="1"/>
      <c r="I598" s="4"/>
      <c r="J598" s="5"/>
      <c r="K598" s="5"/>
      <c r="L598" s="5"/>
      <c r="M598" s="5"/>
      <c r="N598" s="5"/>
      <c r="O598" s="4"/>
      <c r="P598" s="5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2"/>
      <c r="B599" s="2"/>
      <c r="C599" s="14"/>
      <c r="D599" s="3"/>
      <c r="E599" s="1"/>
      <c r="F599" s="1"/>
      <c r="G599" s="1"/>
      <c r="H599" s="1"/>
      <c r="I599" s="4"/>
      <c r="J599" s="5"/>
      <c r="K599" s="5"/>
      <c r="L599" s="5"/>
      <c r="M599" s="5"/>
      <c r="N599" s="5"/>
      <c r="O599" s="4"/>
      <c r="P599" s="5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2"/>
      <c r="B600" s="2"/>
      <c r="C600" s="14"/>
      <c r="D600" s="3"/>
      <c r="E600" s="1"/>
      <c r="F600" s="1"/>
      <c r="G600" s="1"/>
      <c r="H600" s="1"/>
      <c r="I600" s="4"/>
      <c r="J600" s="5"/>
      <c r="K600" s="5"/>
      <c r="L600" s="5"/>
      <c r="M600" s="5"/>
      <c r="N600" s="5"/>
      <c r="O600" s="4"/>
      <c r="P600" s="5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2"/>
      <c r="B601" s="2"/>
      <c r="C601" s="14"/>
      <c r="D601" s="3"/>
      <c r="E601" s="1"/>
      <c r="F601" s="1"/>
      <c r="G601" s="1"/>
      <c r="H601" s="1"/>
      <c r="I601" s="4"/>
      <c r="J601" s="5"/>
      <c r="K601" s="5"/>
      <c r="L601" s="5"/>
      <c r="M601" s="5"/>
      <c r="N601" s="5"/>
      <c r="O601" s="4"/>
      <c r="P601" s="5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2"/>
      <c r="B602" s="2"/>
      <c r="C602" s="14"/>
      <c r="D602" s="3"/>
      <c r="E602" s="1"/>
      <c r="F602" s="1"/>
      <c r="G602" s="1"/>
      <c r="H602" s="1"/>
      <c r="I602" s="4"/>
      <c r="J602" s="5"/>
      <c r="K602" s="5"/>
      <c r="L602" s="5"/>
      <c r="M602" s="5"/>
      <c r="N602" s="5"/>
      <c r="O602" s="4"/>
      <c r="P602" s="5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2"/>
      <c r="B603" s="2"/>
      <c r="C603" s="14"/>
      <c r="D603" s="3"/>
      <c r="E603" s="1"/>
      <c r="F603" s="1"/>
      <c r="G603" s="1"/>
      <c r="H603" s="1"/>
      <c r="I603" s="4"/>
      <c r="J603" s="5"/>
      <c r="K603" s="5"/>
      <c r="L603" s="5"/>
      <c r="M603" s="5"/>
      <c r="N603" s="5"/>
      <c r="O603" s="4"/>
      <c r="P603" s="5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2"/>
      <c r="B604" s="2"/>
      <c r="C604" s="14"/>
      <c r="D604" s="3"/>
      <c r="E604" s="1"/>
      <c r="F604" s="1"/>
      <c r="G604" s="1"/>
      <c r="H604" s="1"/>
      <c r="I604" s="4"/>
      <c r="J604" s="5"/>
      <c r="K604" s="5"/>
      <c r="L604" s="5"/>
      <c r="M604" s="5"/>
      <c r="N604" s="5"/>
      <c r="O604" s="4"/>
      <c r="P604" s="5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2"/>
      <c r="B605" s="2"/>
      <c r="C605" s="14"/>
      <c r="D605" s="3"/>
      <c r="E605" s="1"/>
      <c r="F605" s="1"/>
      <c r="G605" s="1"/>
      <c r="H605" s="1"/>
      <c r="I605" s="4"/>
      <c r="J605" s="5"/>
      <c r="K605" s="5"/>
      <c r="L605" s="5"/>
      <c r="M605" s="5"/>
      <c r="N605" s="5"/>
      <c r="O605" s="4"/>
      <c r="P605" s="5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2"/>
      <c r="B606" s="2"/>
      <c r="C606" s="14"/>
      <c r="D606" s="3"/>
      <c r="E606" s="1"/>
      <c r="F606" s="1"/>
      <c r="G606" s="1"/>
      <c r="H606" s="1"/>
      <c r="I606" s="4"/>
      <c r="J606" s="5"/>
      <c r="K606" s="5"/>
      <c r="L606" s="5"/>
      <c r="M606" s="5"/>
      <c r="N606" s="5"/>
      <c r="O606" s="4"/>
      <c r="P606" s="5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2"/>
      <c r="B607" s="2"/>
      <c r="C607" s="14"/>
      <c r="D607" s="3"/>
      <c r="E607" s="1"/>
      <c r="F607" s="1"/>
      <c r="G607" s="1"/>
      <c r="H607" s="1"/>
      <c r="I607" s="4"/>
      <c r="J607" s="5"/>
      <c r="K607" s="5"/>
      <c r="L607" s="5"/>
      <c r="M607" s="5"/>
      <c r="N607" s="5"/>
      <c r="O607" s="4"/>
      <c r="P607" s="5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2"/>
      <c r="B608" s="2"/>
      <c r="C608" s="14"/>
      <c r="D608" s="3"/>
      <c r="E608" s="1"/>
      <c r="F608" s="1"/>
      <c r="G608" s="1"/>
      <c r="H608" s="1"/>
      <c r="I608" s="4"/>
      <c r="J608" s="5"/>
      <c r="K608" s="5"/>
      <c r="L608" s="5"/>
      <c r="M608" s="5"/>
      <c r="N608" s="5"/>
      <c r="O608" s="4"/>
      <c r="P608" s="5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2"/>
      <c r="B609" s="2"/>
      <c r="C609" s="14"/>
      <c r="D609" s="3"/>
      <c r="E609" s="1"/>
      <c r="F609" s="1"/>
      <c r="G609" s="1"/>
      <c r="H609" s="1"/>
      <c r="I609" s="4"/>
      <c r="J609" s="5"/>
      <c r="K609" s="5"/>
      <c r="L609" s="5"/>
      <c r="M609" s="5"/>
      <c r="N609" s="5"/>
      <c r="O609" s="4"/>
      <c r="P609" s="5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2"/>
      <c r="B610" s="2"/>
      <c r="C610" s="14"/>
      <c r="D610" s="3"/>
      <c r="E610" s="1"/>
      <c r="F610" s="1"/>
      <c r="G610" s="1"/>
      <c r="H610" s="1"/>
      <c r="I610" s="4"/>
      <c r="J610" s="5"/>
      <c r="K610" s="5"/>
      <c r="L610" s="5"/>
      <c r="M610" s="5"/>
      <c r="N610" s="5"/>
      <c r="O610" s="4"/>
      <c r="P610" s="5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2"/>
      <c r="B611" s="2"/>
      <c r="C611" s="14"/>
      <c r="D611" s="3"/>
      <c r="E611" s="1"/>
      <c r="F611" s="1"/>
      <c r="G611" s="1"/>
      <c r="H611" s="1"/>
      <c r="I611" s="4"/>
      <c r="J611" s="5"/>
      <c r="K611" s="5"/>
      <c r="L611" s="5"/>
      <c r="M611" s="5"/>
      <c r="N611" s="5"/>
      <c r="O611" s="4"/>
      <c r="P611" s="5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2"/>
      <c r="B612" s="2"/>
      <c r="C612" s="14"/>
      <c r="D612" s="3"/>
      <c r="E612" s="1"/>
      <c r="F612" s="1"/>
      <c r="G612" s="1"/>
      <c r="H612" s="1"/>
      <c r="I612" s="4"/>
      <c r="J612" s="5"/>
      <c r="K612" s="5"/>
      <c r="L612" s="5"/>
      <c r="M612" s="5"/>
      <c r="N612" s="5"/>
      <c r="O612" s="4"/>
      <c r="P612" s="5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2"/>
      <c r="B613" s="2"/>
      <c r="C613" s="14"/>
      <c r="D613" s="3"/>
      <c r="E613" s="1"/>
      <c r="F613" s="1"/>
      <c r="G613" s="1"/>
      <c r="H613" s="1"/>
      <c r="I613" s="4"/>
      <c r="J613" s="5"/>
      <c r="K613" s="5"/>
      <c r="L613" s="5"/>
      <c r="M613" s="5"/>
      <c r="N613" s="5"/>
      <c r="O613" s="4"/>
      <c r="P613" s="5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2"/>
      <c r="B614" s="2"/>
      <c r="C614" s="14"/>
      <c r="D614" s="3"/>
      <c r="E614" s="1"/>
      <c r="F614" s="1"/>
      <c r="G614" s="1"/>
      <c r="H614" s="1"/>
      <c r="I614" s="4"/>
      <c r="J614" s="5"/>
      <c r="K614" s="5"/>
      <c r="L614" s="5"/>
      <c r="M614" s="5"/>
      <c r="N614" s="5"/>
      <c r="O614" s="4"/>
      <c r="P614" s="5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2"/>
      <c r="B615" s="2"/>
      <c r="C615" s="14"/>
      <c r="D615" s="3"/>
      <c r="E615" s="1"/>
      <c r="F615" s="1"/>
      <c r="G615" s="1"/>
      <c r="H615" s="1"/>
      <c r="I615" s="4"/>
      <c r="J615" s="5"/>
      <c r="K615" s="5"/>
      <c r="L615" s="5"/>
      <c r="M615" s="5"/>
      <c r="N615" s="5"/>
      <c r="O615" s="4"/>
      <c r="P615" s="5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2"/>
      <c r="B616" s="2"/>
      <c r="C616" s="14"/>
      <c r="D616" s="3"/>
      <c r="E616" s="1"/>
      <c r="F616" s="1"/>
      <c r="G616" s="1"/>
      <c r="H616" s="1"/>
      <c r="I616" s="4"/>
      <c r="J616" s="5"/>
      <c r="K616" s="5"/>
      <c r="L616" s="5"/>
      <c r="M616" s="5"/>
      <c r="N616" s="5"/>
      <c r="O616" s="4"/>
      <c r="P616" s="5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2"/>
      <c r="B617" s="2"/>
      <c r="C617" s="14"/>
      <c r="D617" s="3"/>
      <c r="E617" s="1"/>
      <c r="F617" s="1"/>
      <c r="G617" s="1"/>
      <c r="H617" s="1"/>
      <c r="I617" s="4"/>
      <c r="J617" s="5"/>
      <c r="K617" s="5"/>
      <c r="L617" s="5"/>
      <c r="M617" s="5"/>
      <c r="N617" s="5"/>
      <c r="O617" s="4"/>
      <c r="P617" s="5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2"/>
      <c r="B618" s="2"/>
      <c r="C618" s="14"/>
      <c r="D618" s="3"/>
      <c r="E618" s="1"/>
      <c r="F618" s="1"/>
      <c r="G618" s="1"/>
      <c r="H618" s="1"/>
      <c r="I618" s="4"/>
      <c r="J618" s="5"/>
      <c r="K618" s="5"/>
      <c r="L618" s="5"/>
      <c r="M618" s="5"/>
      <c r="N618" s="5"/>
      <c r="O618" s="4"/>
      <c r="P618" s="5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2"/>
      <c r="B619" s="2"/>
      <c r="C619" s="14"/>
      <c r="D619" s="3"/>
      <c r="E619" s="1"/>
      <c r="F619" s="1"/>
      <c r="G619" s="1"/>
      <c r="H619" s="1"/>
      <c r="I619" s="4"/>
      <c r="J619" s="5"/>
      <c r="K619" s="5"/>
      <c r="L619" s="5"/>
      <c r="M619" s="5"/>
      <c r="N619" s="5"/>
      <c r="O619" s="4"/>
      <c r="P619" s="5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2"/>
      <c r="B620" s="2"/>
      <c r="C620" s="14"/>
      <c r="D620" s="3"/>
      <c r="E620" s="1"/>
      <c r="F620" s="1"/>
      <c r="G620" s="1"/>
      <c r="H620" s="1"/>
      <c r="I620" s="4"/>
      <c r="J620" s="5"/>
      <c r="K620" s="5"/>
      <c r="L620" s="5"/>
      <c r="M620" s="5"/>
      <c r="N620" s="5"/>
      <c r="O620" s="4"/>
      <c r="P620" s="5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2"/>
      <c r="B621" s="2"/>
      <c r="C621" s="14"/>
      <c r="D621" s="3"/>
      <c r="E621" s="1"/>
      <c r="F621" s="1"/>
      <c r="G621" s="1"/>
      <c r="H621" s="1"/>
      <c r="I621" s="4"/>
      <c r="J621" s="5"/>
      <c r="K621" s="5"/>
      <c r="L621" s="5"/>
      <c r="M621" s="5"/>
      <c r="N621" s="5"/>
      <c r="O621" s="4"/>
      <c r="P621" s="5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2"/>
      <c r="B622" s="2"/>
      <c r="C622" s="14"/>
      <c r="D622" s="3"/>
      <c r="E622" s="1"/>
      <c r="F622" s="1"/>
      <c r="G622" s="1"/>
      <c r="H622" s="1"/>
      <c r="I622" s="4"/>
      <c r="J622" s="5"/>
      <c r="K622" s="5"/>
      <c r="L622" s="5"/>
      <c r="M622" s="5"/>
      <c r="N622" s="5"/>
      <c r="O622" s="4"/>
      <c r="P622" s="5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2"/>
      <c r="B623" s="2"/>
      <c r="C623" s="14"/>
      <c r="D623" s="3"/>
      <c r="E623" s="1"/>
      <c r="F623" s="1"/>
      <c r="G623" s="1"/>
      <c r="H623" s="1"/>
      <c r="I623" s="4"/>
      <c r="J623" s="5"/>
      <c r="K623" s="5"/>
      <c r="L623" s="5"/>
      <c r="M623" s="5"/>
      <c r="N623" s="5"/>
      <c r="O623" s="4"/>
      <c r="P623" s="5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2"/>
      <c r="B624" s="2"/>
      <c r="C624" s="14"/>
      <c r="D624" s="3"/>
      <c r="E624" s="1"/>
      <c r="F624" s="1"/>
      <c r="G624" s="1"/>
      <c r="H624" s="1"/>
      <c r="I624" s="4"/>
      <c r="J624" s="5"/>
      <c r="K624" s="5"/>
      <c r="L624" s="5"/>
      <c r="M624" s="5"/>
      <c r="N624" s="5"/>
      <c r="O624" s="4"/>
      <c r="P624" s="5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2"/>
      <c r="B625" s="2"/>
      <c r="C625" s="14"/>
      <c r="D625" s="3"/>
      <c r="E625" s="1"/>
      <c r="F625" s="1"/>
      <c r="G625" s="1"/>
      <c r="H625" s="1"/>
      <c r="I625" s="4"/>
      <c r="J625" s="5"/>
      <c r="K625" s="5"/>
      <c r="L625" s="5"/>
      <c r="M625" s="5"/>
      <c r="N625" s="5"/>
      <c r="O625" s="4"/>
      <c r="P625" s="5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2"/>
      <c r="B626" s="2"/>
      <c r="C626" s="14"/>
      <c r="D626" s="3"/>
      <c r="E626" s="1"/>
      <c r="F626" s="1"/>
      <c r="G626" s="1"/>
      <c r="H626" s="1"/>
      <c r="I626" s="4"/>
      <c r="J626" s="5"/>
      <c r="K626" s="5"/>
      <c r="L626" s="5"/>
      <c r="M626" s="5"/>
      <c r="N626" s="5"/>
      <c r="O626" s="4"/>
      <c r="P626" s="5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2"/>
      <c r="B627" s="2"/>
      <c r="C627" s="14"/>
      <c r="D627" s="3"/>
      <c r="E627" s="1"/>
      <c r="F627" s="1"/>
      <c r="G627" s="1"/>
      <c r="H627" s="1"/>
      <c r="I627" s="4"/>
      <c r="J627" s="5"/>
      <c r="K627" s="5"/>
      <c r="L627" s="5"/>
      <c r="M627" s="5"/>
      <c r="N627" s="5"/>
      <c r="O627" s="4"/>
      <c r="P627" s="5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2"/>
      <c r="B628" s="2"/>
      <c r="C628" s="14"/>
      <c r="D628" s="3"/>
      <c r="E628" s="1"/>
      <c r="F628" s="1"/>
      <c r="G628" s="1"/>
      <c r="H628" s="1"/>
      <c r="I628" s="4"/>
      <c r="J628" s="5"/>
      <c r="K628" s="5"/>
      <c r="L628" s="5"/>
      <c r="M628" s="5"/>
      <c r="N628" s="5"/>
      <c r="O628" s="4"/>
      <c r="P628" s="5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2"/>
      <c r="B629" s="2"/>
      <c r="C629" s="14"/>
      <c r="D629" s="3"/>
      <c r="E629" s="1"/>
      <c r="F629" s="1"/>
      <c r="G629" s="1"/>
      <c r="H629" s="1"/>
      <c r="I629" s="4"/>
      <c r="J629" s="5"/>
      <c r="K629" s="5"/>
      <c r="L629" s="5"/>
      <c r="M629" s="5"/>
      <c r="N629" s="5"/>
      <c r="O629" s="4"/>
      <c r="P629" s="5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2"/>
      <c r="B630" s="2"/>
      <c r="C630" s="14"/>
      <c r="D630" s="3"/>
      <c r="E630" s="1"/>
      <c r="F630" s="1"/>
      <c r="G630" s="1"/>
      <c r="H630" s="1"/>
      <c r="I630" s="4"/>
      <c r="J630" s="5"/>
      <c r="K630" s="5"/>
      <c r="L630" s="5"/>
      <c r="M630" s="5"/>
      <c r="N630" s="5"/>
      <c r="O630" s="4"/>
      <c r="P630" s="5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2"/>
      <c r="B631" s="2"/>
      <c r="C631" s="14"/>
      <c r="D631" s="3"/>
      <c r="E631" s="1"/>
      <c r="F631" s="1"/>
      <c r="G631" s="1"/>
      <c r="H631" s="1"/>
      <c r="I631" s="4"/>
      <c r="J631" s="5"/>
      <c r="K631" s="5"/>
      <c r="L631" s="5"/>
      <c r="M631" s="5"/>
      <c r="N631" s="5"/>
      <c r="O631" s="4"/>
      <c r="P631" s="5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2"/>
      <c r="B632" s="2"/>
      <c r="C632" s="14"/>
      <c r="D632" s="3"/>
      <c r="E632" s="1"/>
      <c r="F632" s="1"/>
      <c r="G632" s="1"/>
      <c r="H632" s="1"/>
      <c r="I632" s="4"/>
      <c r="J632" s="5"/>
      <c r="K632" s="5"/>
      <c r="L632" s="5"/>
      <c r="M632" s="5"/>
      <c r="N632" s="5"/>
      <c r="O632" s="4"/>
      <c r="P632" s="5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2"/>
      <c r="B633" s="2"/>
      <c r="C633" s="14"/>
      <c r="D633" s="3"/>
      <c r="E633" s="1"/>
      <c r="F633" s="1"/>
      <c r="G633" s="1"/>
      <c r="H633" s="1"/>
      <c r="I633" s="4"/>
      <c r="J633" s="5"/>
      <c r="K633" s="5"/>
      <c r="L633" s="5"/>
      <c r="M633" s="5"/>
      <c r="N633" s="5"/>
      <c r="O633" s="4"/>
      <c r="P633" s="5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2"/>
      <c r="B634" s="2"/>
      <c r="C634" s="14"/>
      <c r="D634" s="3"/>
      <c r="E634" s="1"/>
      <c r="F634" s="1"/>
      <c r="G634" s="1"/>
      <c r="H634" s="1"/>
      <c r="I634" s="4"/>
      <c r="J634" s="5"/>
      <c r="K634" s="5"/>
      <c r="L634" s="5"/>
      <c r="M634" s="5"/>
      <c r="N634" s="5"/>
      <c r="O634" s="4"/>
      <c r="P634" s="5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2"/>
      <c r="B635" s="2"/>
      <c r="C635" s="14"/>
      <c r="D635" s="3"/>
      <c r="E635" s="1"/>
      <c r="F635" s="1"/>
      <c r="G635" s="1"/>
      <c r="H635" s="1"/>
      <c r="I635" s="4"/>
      <c r="J635" s="5"/>
      <c r="K635" s="5"/>
      <c r="L635" s="5"/>
      <c r="M635" s="5"/>
      <c r="N635" s="5"/>
      <c r="O635" s="4"/>
      <c r="P635" s="5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2"/>
      <c r="B636" s="2"/>
      <c r="C636" s="14"/>
      <c r="D636" s="3"/>
      <c r="E636" s="1"/>
      <c r="F636" s="1"/>
      <c r="G636" s="1"/>
      <c r="H636" s="1"/>
      <c r="I636" s="4"/>
      <c r="J636" s="5"/>
      <c r="K636" s="5"/>
      <c r="L636" s="5"/>
      <c r="M636" s="5"/>
      <c r="N636" s="5"/>
      <c r="O636" s="4"/>
      <c r="P636" s="5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2"/>
      <c r="B637" s="2"/>
      <c r="C637" s="14"/>
      <c r="D637" s="3"/>
      <c r="E637" s="1"/>
      <c r="F637" s="1"/>
      <c r="G637" s="1"/>
      <c r="H637" s="1"/>
      <c r="I637" s="4"/>
      <c r="J637" s="5"/>
      <c r="K637" s="5"/>
      <c r="L637" s="5"/>
      <c r="M637" s="5"/>
      <c r="N637" s="5"/>
      <c r="O637" s="4"/>
      <c r="P637" s="5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2"/>
      <c r="B638" s="2"/>
      <c r="C638" s="14"/>
      <c r="D638" s="3"/>
      <c r="E638" s="1"/>
      <c r="F638" s="1"/>
      <c r="G638" s="1"/>
      <c r="H638" s="1"/>
      <c r="I638" s="4"/>
      <c r="J638" s="5"/>
      <c r="K638" s="5"/>
      <c r="L638" s="5"/>
      <c r="M638" s="5"/>
      <c r="N638" s="5"/>
      <c r="O638" s="4"/>
      <c r="P638" s="5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2"/>
      <c r="B639" s="2"/>
      <c r="C639" s="14"/>
      <c r="D639" s="3"/>
      <c r="E639" s="1"/>
      <c r="F639" s="1"/>
      <c r="G639" s="1"/>
      <c r="H639" s="1"/>
      <c r="I639" s="4"/>
      <c r="J639" s="5"/>
      <c r="K639" s="5"/>
      <c r="L639" s="5"/>
      <c r="M639" s="5"/>
      <c r="N639" s="5"/>
      <c r="O639" s="4"/>
      <c r="P639" s="5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2"/>
      <c r="B640" s="2"/>
      <c r="C640" s="14"/>
      <c r="D640" s="3"/>
      <c r="E640" s="1"/>
      <c r="F640" s="1"/>
      <c r="G640" s="1"/>
      <c r="H640" s="1"/>
      <c r="I640" s="4"/>
      <c r="J640" s="5"/>
      <c r="K640" s="5"/>
      <c r="L640" s="5"/>
      <c r="M640" s="5"/>
      <c r="N640" s="5"/>
      <c r="O640" s="4"/>
      <c r="P640" s="5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2"/>
      <c r="B641" s="2"/>
      <c r="C641" s="14"/>
      <c r="D641" s="3"/>
      <c r="E641" s="1"/>
      <c r="F641" s="1"/>
      <c r="G641" s="1"/>
      <c r="H641" s="1"/>
      <c r="I641" s="4"/>
      <c r="J641" s="5"/>
      <c r="K641" s="5"/>
      <c r="L641" s="5"/>
      <c r="M641" s="5"/>
      <c r="N641" s="5"/>
      <c r="O641" s="4"/>
      <c r="P641" s="5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2"/>
      <c r="B642" s="2"/>
      <c r="C642" s="14"/>
      <c r="D642" s="3"/>
      <c r="E642" s="1"/>
      <c r="F642" s="1"/>
      <c r="G642" s="1"/>
      <c r="H642" s="1"/>
      <c r="I642" s="4"/>
      <c r="J642" s="5"/>
      <c r="K642" s="5"/>
      <c r="L642" s="5"/>
      <c r="M642" s="5"/>
      <c r="N642" s="5"/>
      <c r="O642" s="4"/>
      <c r="P642" s="5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2"/>
      <c r="B643" s="2"/>
      <c r="C643" s="14"/>
      <c r="D643" s="3"/>
      <c r="E643" s="1"/>
      <c r="F643" s="1"/>
      <c r="G643" s="1"/>
      <c r="H643" s="1"/>
      <c r="I643" s="4"/>
      <c r="J643" s="5"/>
      <c r="K643" s="5"/>
      <c r="L643" s="5"/>
      <c r="M643" s="5"/>
      <c r="N643" s="5"/>
      <c r="O643" s="4"/>
      <c r="P643" s="5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2"/>
      <c r="B644" s="2"/>
      <c r="C644" s="14"/>
      <c r="D644" s="3"/>
      <c r="E644" s="1"/>
      <c r="F644" s="1"/>
      <c r="G644" s="1"/>
      <c r="H644" s="1"/>
      <c r="I644" s="4"/>
      <c r="J644" s="5"/>
      <c r="K644" s="5"/>
      <c r="L644" s="5"/>
      <c r="M644" s="5"/>
      <c r="N644" s="5"/>
      <c r="O644" s="4"/>
      <c r="P644" s="5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2"/>
      <c r="B645" s="2"/>
      <c r="C645" s="14"/>
      <c r="D645" s="3"/>
      <c r="E645" s="1"/>
      <c r="F645" s="1"/>
      <c r="G645" s="1"/>
      <c r="H645" s="1"/>
      <c r="I645" s="4"/>
      <c r="J645" s="5"/>
      <c r="K645" s="5"/>
      <c r="L645" s="5"/>
      <c r="M645" s="5"/>
      <c r="N645" s="5"/>
      <c r="O645" s="4"/>
      <c r="P645" s="5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2"/>
      <c r="B646" s="2"/>
      <c r="C646" s="14"/>
      <c r="D646" s="3"/>
      <c r="E646" s="1"/>
      <c r="F646" s="1"/>
      <c r="G646" s="1"/>
      <c r="H646" s="1"/>
      <c r="I646" s="4"/>
      <c r="J646" s="5"/>
      <c r="K646" s="5"/>
      <c r="L646" s="5"/>
      <c r="M646" s="5"/>
      <c r="N646" s="5"/>
      <c r="O646" s="4"/>
      <c r="P646" s="5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2"/>
      <c r="B647" s="2"/>
      <c r="C647" s="14"/>
      <c r="D647" s="3"/>
      <c r="E647" s="1"/>
      <c r="F647" s="1"/>
      <c r="G647" s="1"/>
      <c r="H647" s="1"/>
      <c r="I647" s="4"/>
      <c r="J647" s="5"/>
      <c r="K647" s="5"/>
      <c r="L647" s="5"/>
      <c r="M647" s="5"/>
      <c r="N647" s="5"/>
      <c r="O647" s="4"/>
      <c r="P647" s="5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2"/>
      <c r="B648" s="2"/>
      <c r="C648" s="14"/>
      <c r="D648" s="3"/>
      <c r="E648" s="1"/>
      <c r="F648" s="1"/>
      <c r="G648" s="1"/>
      <c r="H648" s="1"/>
      <c r="I648" s="4"/>
      <c r="J648" s="5"/>
      <c r="K648" s="5"/>
      <c r="L648" s="5"/>
      <c r="M648" s="5"/>
      <c r="N648" s="5"/>
      <c r="O648" s="4"/>
      <c r="P648" s="5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2"/>
      <c r="B649" s="2"/>
      <c r="C649" s="14"/>
      <c r="D649" s="3"/>
      <c r="E649" s="1"/>
      <c r="F649" s="1"/>
      <c r="G649" s="1"/>
      <c r="H649" s="1"/>
      <c r="I649" s="4"/>
      <c r="J649" s="5"/>
      <c r="K649" s="5"/>
      <c r="L649" s="5"/>
      <c r="M649" s="5"/>
      <c r="N649" s="5"/>
      <c r="O649" s="4"/>
      <c r="P649" s="5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2"/>
      <c r="B650" s="2"/>
      <c r="C650" s="14"/>
      <c r="D650" s="3"/>
      <c r="E650" s="1"/>
      <c r="F650" s="1"/>
      <c r="G650" s="1"/>
      <c r="H650" s="1"/>
      <c r="I650" s="4"/>
      <c r="J650" s="5"/>
      <c r="K650" s="5"/>
      <c r="L650" s="5"/>
      <c r="M650" s="5"/>
      <c r="N650" s="5"/>
      <c r="O650" s="4"/>
      <c r="P650" s="5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2"/>
      <c r="B651" s="2"/>
      <c r="C651" s="14"/>
      <c r="D651" s="3"/>
      <c r="E651" s="1"/>
      <c r="F651" s="1"/>
      <c r="G651" s="1"/>
      <c r="H651" s="1"/>
      <c r="I651" s="4"/>
      <c r="J651" s="5"/>
      <c r="K651" s="5"/>
      <c r="L651" s="5"/>
      <c r="M651" s="5"/>
      <c r="N651" s="5"/>
      <c r="O651" s="4"/>
      <c r="P651" s="5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2"/>
      <c r="B652" s="2"/>
      <c r="C652" s="14"/>
      <c r="D652" s="3"/>
      <c r="E652" s="1"/>
      <c r="F652" s="1"/>
      <c r="G652" s="1"/>
      <c r="H652" s="1"/>
      <c r="I652" s="4"/>
      <c r="J652" s="5"/>
      <c r="K652" s="5"/>
      <c r="L652" s="5"/>
      <c r="M652" s="5"/>
      <c r="N652" s="5"/>
      <c r="O652" s="4"/>
      <c r="P652" s="5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2"/>
      <c r="B653" s="2"/>
      <c r="C653" s="14"/>
      <c r="D653" s="3"/>
      <c r="E653" s="1"/>
      <c r="F653" s="1"/>
      <c r="G653" s="1"/>
      <c r="H653" s="1"/>
      <c r="I653" s="4"/>
      <c r="J653" s="5"/>
      <c r="K653" s="5"/>
      <c r="L653" s="5"/>
      <c r="M653" s="5"/>
      <c r="N653" s="5"/>
      <c r="O653" s="4"/>
      <c r="P653" s="5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2"/>
      <c r="B654" s="2"/>
      <c r="C654" s="14"/>
      <c r="D654" s="3"/>
      <c r="E654" s="1"/>
      <c r="F654" s="1"/>
      <c r="G654" s="1"/>
      <c r="H654" s="1"/>
      <c r="I654" s="4"/>
      <c r="J654" s="5"/>
      <c r="K654" s="5"/>
      <c r="L654" s="5"/>
      <c r="M654" s="5"/>
      <c r="N654" s="5"/>
      <c r="O654" s="4"/>
      <c r="P654" s="5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2"/>
      <c r="B655" s="2"/>
      <c r="C655" s="14"/>
      <c r="D655" s="3"/>
      <c r="E655" s="1"/>
      <c r="F655" s="1"/>
      <c r="G655" s="1"/>
      <c r="H655" s="1"/>
      <c r="I655" s="4"/>
      <c r="J655" s="5"/>
      <c r="K655" s="5"/>
      <c r="L655" s="5"/>
      <c r="M655" s="5"/>
      <c r="N655" s="5"/>
      <c r="O655" s="4"/>
      <c r="P655" s="5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2"/>
      <c r="B656" s="2"/>
      <c r="C656" s="14"/>
      <c r="D656" s="3"/>
      <c r="E656" s="1"/>
      <c r="F656" s="1"/>
      <c r="G656" s="1"/>
      <c r="H656" s="1"/>
      <c r="I656" s="4"/>
      <c r="J656" s="5"/>
      <c r="K656" s="5"/>
      <c r="L656" s="5"/>
      <c r="M656" s="5"/>
      <c r="N656" s="5"/>
      <c r="O656" s="4"/>
      <c r="P656" s="5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2"/>
      <c r="B657" s="2"/>
      <c r="C657" s="14"/>
      <c r="D657" s="3"/>
      <c r="E657" s="1"/>
      <c r="F657" s="1"/>
      <c r="G657" s="1"/>
      <c r="H657" s="1"/>
      <c r="I657" s="4"/>
      <c r="J657" s="5"/>
      <c r="K657" s="5"/>
      <c r="L657" s="5"/>
      <c r="M657" s="5"/>
      <c r="N657" s="5"/>
      <c r="O657" s="4"/>
      <c r="P657" s="5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2"/>
      <c r="B658" s="2"/>
      <c r="C658" s="14"/>
      <c r="D658" s="3"/>
      <c r="E658" s="1"/>
      <c r="F658" s="1"/>
      <c r="G658" s="1"/>
      <c r="H658" s="1"/>
      <c r="I658" s="4"/>
      <c r="J658" s="5"/>
      <c r="K658" s="5"/>
      <c r="L658" s="5"/>
      <c r="M658" s="5"/>
      <c r="N658" s="5"/>
      <c r="O658" s="4"/>
      <c r="P658" s="5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2"/>
      <c r="B659" s="2"/>
      <c r="C659" s="14"/>
      <c r="D659" s="3"/>
      <c r="E659" s="1"/>
      <c r="F659" s="1"/>
      <c r="G659" s="1"/>
      <c r="H659" s="1"/>
      <c r="I659" s="4"/>
      <c r="J659" s="5"/>
      <c r="K659" s="5"/>
      <c r="L659" s="5"/>
      <c r="M659" s="5"/>
      <c r="N659" s="5"/>
      <c r="O659" s="4"/>
      <c r="P659" s="5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2"/>
      <c r="B660" s="2"/>
      <c r="C660" s="14"/>
      <c r="D660" s="3"/>
      <c r="E660" s="1"/>
      <c r="F660" s="1"/>
      <c r="G660" s="1"/>
      <c r="H660" s="1"/>
      <c r="I660" s="4"/>
      <c r="J660" s="5"/>
      <c r="K660" s="5"/>
      <c r="L660" s="5"/>
      <c r="M660" s="5"/>
      <c r="N660" s="5"/>
      <c r="O660" s="4"/>
      <c r="P660" s="5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2"/>
      <c r="B661" s="2"/>
      <c r="C661" s="14"/>
      <c r="D661" s="3"/>
      <c r="E661" s="1"/>
      <c r="F661" s="1"/>
      <c r="G661" s="1"/>
      <c r="H661" s="1"/>
      <c r="I661" s="4"/>
      <c r="J661" s="5"/>
      <c r="K661" s="5"/>
      <c r="L661" s="5"/>
      <c r="M661" s="5"/>
      <c r="N661" s="5"/>
      <c r="O661" s="4"/>
      <c r="P661" s="5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2"/>
      <c r="B662" s="2"/>
      <c r="C662" s="14"/>
      <c r="D662" s="3"/>
      <c r="E662" s="1"/>
      <c r="F662" s="1"/>
      <c r="G662" s="1"/>
      <c r="H662" s="1"/>
      <c r="I662" s="4"/>
      <c r="J662" s="5"/>
      <c r="K662" s="5"/>
      <c r="L662" s="5"/>
      <c r="M662" s="5"/>
      <c r="N662" s="5"/>
      <c r="O662" s="4"/>
      <c r="P662" s="5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2"/>
      <c r="B663" s="2"/>
      <c r="C663" s="14"/>
      <c r="D663" s="3"/>
      <c r="E663" s="1"/>
      <c r="F663" s="1"/>
      <c r="G663" s="1"/>
      <c r="H663" s="1"/>
      <c r="I663" s="4"/>
      <c r="J663" s="5"/>
      <c r="K663" s="5"/>
      <c r="L663" s="5"/>
      <c r="M663" s="5"/>
      <c r="N663" s="5"/>
      <c r="O663" s="4"/>
      <c r="P663" s="5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2"/>
      <c r="B664" s="2"/>
      <c r="C664" s="14"/>
      <c r="D664" s="3"/>
      <c r="E664" s="1"/>
      <c r="F664" s="1"/>
      <c r="G664" s="1"/>
      <c r="H664" s="1"/>
      <c r="I664" s="4"/>
      <c r="J664" s="5"/>
      <c r="K664" s="5"/>
      <c r="L664" s="5"/>
      <c r="M664" s="5"/>
      <c r="N664" s="5"/>
      <c r="O664" s="4"/>
      <c r="P664" s="5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2"/>
      <c r="B665" s="2"/>
      <c r="C665" s="14"/>
      <c r="D665" s="3"/>
      <c r="E665" s="1"/>
      <c r="F665" s="1"/>
      <c r="G665" s="1"/>
      <c r="H665" s="1"/>
      <c r="I665" s="4"/>
      <c r="J665" s="5"/>
      <c r="K665" s="5"/>
      <c r="L665" s="5"/>
      <c r="M665" s="5"/>
      <c r="N665" s="5"/>
      <c r="O665" s="4"/>
      <c r="P665" s="5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2"/>
      <c r="B666" s="2"/>
      <c r="C666" s="14"/>
      <c r="D666" s="3"/>
      <c r="E666" s="1"/>
      <c r="F666" s="1"/>
      <c r="G666" s="1"/>
      <c r="H666" s="1"/>
      <c r="I666" s="4"/>
      <c r="J666" s="5"/>
      <c r="K666" s="5"/>
      <c r="L666" s="5"/>
      <c r="M666" s="5"/>
      <c r="N666" s="5"/>
      <c r="O666" s="4"/>
      <c r="P666" s="5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2"/>
      <c r="B667" s="2"/>
      <c r="C667" s="14"/>
      <c r="D667" s="3"/>
      <c r="E667" s="1"/>
      <c r="F667" s="1"/>
      <c r="G667" s="1"/>
      <c r="H667" s="1"/>
      <c r="I667" s="4"/>
      <c r="J667" s="5"/>
      <c r="K667" s="5"/>
      <c r="L667" s="5"/>
      <c r="M667" s="5"/>
      <c r="N667" s="5"/>
      <c r="O667" s="4"/>
      <c r="P667" s="5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2"/>
      <c r="B668" s="2"/>
      <c r="C668" s="14"/>
      <c r="D668" s="3"/>
      <c r="E668" s="1"/>
      <c r="F668" s="1"/>
      <c r="G668" s="1"/>
      <c r="H668" s="1"/>
      <c r="I668" s="4"/>
      <c r="J668" s="5"/>
      <c r="K668" s="5"/>
      <c r="L668" s="5"/>
      <c r="M668" s="5"/>
      <c r="N668" s="5"/>
      <c r="O668" s="4"/>
      <c r="P668" s="5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2"/>
      <c r="B669" s="2"/>
      <c r="C669" s="14"/>
      <c r="D669" s="3"/>
      <c r="E669" s="1"/>
      <c r="F669" s="1"/>
      <c r="G669" s="1"/>
      <c r="H669" s="1"/>
      <c r="I669" s="4"/>
      <c r="J669" s="5"/>
      <c r="K669" s="5"/>
      <c r="L669" s="5"/>
      <c r="M669" s="5"/>
      <c r="N669" s="5"/>
      <c r="O669" s="4"/>
      <c r="P669" s="5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2"/>
      <c r="B670" s="2"/>
      <c r="C670" s="14"/>
      <c r="D670" s="3"/>
      <c r="E670" s="1"/>
      <c r="F670" s="1"/>
      <c r="G670" s="1"/>
      <c r="H670" s="1"/>
      <c r="I670" s="4"/>
      <c r="J670" s="5"/>
      <c r="K670" s="5"/>
      <c r="L670" s="5"/>
      <c r="M670" s="5"/>
      <c r="N670" s="5"/>
      <c r="O670" s="4"/>
      <c r="P670" s="5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2"/>
      <c r="B671" s="2"/>
      <c r="C671" s="14"/>
      <c r="D671" s="3"/>
      <c r="E671" s="1"/>
      <c r="F671" s="1"/>
      <c r="G671" s="1"/>
      <c r="H671" s="1"/>
      <c r="I671" s="4"/>
      <c r="J671" s="5"/>
      <c r="K671" s="5"/>
      <c r="L671" s="5"/>
      <c r="M671" s="5"/>
      <c r="N671" s="5"/>
      <c r="O671" s="4"/>
      <c r="P671" s="5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2"/>
      <c r="B672" s="2"/>
      <c r="C672" s="14"/>
      <c r="D672" s="3"/>
      <c r="E672" s="1"/>
      <c r="F672" s="1"/>
      <c r="G672" s="1"/>
      <c r="H672" s="1"/>
      <c r="I672" s="4"/>
      <c r="J672" s="5"/>
      <c r="K672" s="5"/>
      <c r="L672" s="5"/>
      <c r="M672" s="5"/>
      <c r="N672" s="5"/>
      <c r="O672" s="4"/>
      <c r="P672" s="5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2"/>
      <c r="B673" s="2"/>
      <c r="C673" s="14"/>
      <c r="D673" s="3"/>
      <c r="E673" s="1"/>
      <c r="F673" s="1"/>
      <c r="G673" s="1"/>
      <c r="H673" s="1"/>
      <c r="I673" s="4"/>
      <c r="J673" s="5"/>
      <c r="K673" s="5"/>
      <c r="L673" s="5"/>
      <c r="M673" s="5"/>
      <c r="N673" s="5"/>
      <c r="O673" s="4"/>
      <c r="P673" s="5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2"/>
      <c r="B674" s="2"/>
      <c r="C674" s="14"/>
      <c r="D674" s="3"/>
      <c r="E674" s="1"/>
      <c r="F674" s="1"/>
      <c r="G674" s="1"/>
      <c r="H674" s="1"/>
      <c r="I674" s="4"/>
      <c r="J674" s="5"/>
      <c r="K674" s="5"/>
      <c r="L674" s="5"/>
      <c r="M674" s="5"/>
      <c r="N674" s="5"/>
      <c r="O674" s="4"/>
      <c r="P674" s="5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2"/>
      <c r="B675" s="2"/>
      <c r="C675" s="14"/>
      <c r="D675" s="3"/>
      <c r="E675" s="1"/>
      <c r="F675" s="1"/>
      <c r="G675" s="1"/>
      <c r="H675" s="1"/>
      <c r="I675" s="4"/>
      <c r="J675" s="5"/>
      <c r="K675" s="5"/>
      <c r="L675" s="5"/>
      <c r="M675" s="5"/>
      <c r="N675" s="5"/>
      <c r="O675" s="4"/>
      <c r="P675" s="5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2"/>
      <c r="B676" s="2"/>
      <c r="C676" s="14"/>
      <c r="D676" s="3"/>
      <c r="E676" s="1"/>
      <c r="F676" s="1"/>
      <c r="G676" s="1"/>
      <c r="H676" s="1"/>
      <c r="I676" s="4"/>
      <c r="J676" s="5"/>
      <c r="K676" s="5"/>
      <c r="L676" s="5"/>
      <c r="M676" s="5"/>
      <c r="N676" s="5"/>
      <c r="O676" s="4"/>
      <c r="P676" s="5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2"/>
      <c r="B677" s="2"/>
      <c r="C677" s="14"/>
      <c r="D677" s="3"/>
      <c r="E677" s="1"/>
      <c r="F677" s="1"/>
      <c r="G677" s="1"/>
      <c r="H677" s="1"/>
      <c r="I677" s="4"/>
      <c r="J677" s="5"/>
      <c r="K677" s="5"/>
      <c r="L677" s="5"/>
      <c r="M677" s="5"/>
      <c r="N677" s="5"/>
      <c r="O677" s="4"/>
      <c r="P677" s="5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2"/>
      <c r="B678" s="2"/>
      <c r="C678" s="14"/>
      <c r="D678" s="3"/>
      <c r="E678" s="1"/>
      <c r="F678" s="1"/>
      <c r="G678" s="1"/>
      <c r="H678" s="1"/>
      <c r="I678" s="4"/>
      <c r="J678" s="5"/>
      <c r="K678" s="5"/>
      <c r="L678" s="5"/>
      <c r="M678" s="5"/>
      <c r="N678" s="5"/>
      <c r="O678" s="4"/>
      <c r="P678" s="5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2"/>
      <c r="B679" s="2"/>
      <c r="C679" s="14"/>
      <c r="D679" s="3"/>
      <c r="E679" s="1"/>
      <c r="F679" s="1"/>
      <c r="G679" s="1"/>
      <c r="H679" s="1"/>
      <c r="I679" s="4"/>
      <c r="J679" s="5"/>
      <c r="K679" s="5"/>
      <c r="L679" s="5"/>
      <c r="M679" s="5"/>
      <c r="N679" s="5"/>
      <c r="O679" s="4"/>
      <c r="P679" s="5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2"/>
      <c r="B680" s="2"/>
      <c r="C680" s="14"/>
      <c r="D680" s="3"/>
      <c r="E680" s="1"/>
      <c r="F680" s="1"/>
      <c r="G680" s="1"/>
      <c r="H680" s="1"/>
      <c r="I680" s="4"/>
      <c r="J680" s="5"/>
      <c r="K680" s="5"/>
      <c r="L680" s="5"/>
      <c r="M680" s="5"/>
      <c r="N680" s="5"/>
      <c r="O680" s="4"/>
      <c r="P680" s="5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2"/>
      <c r="B681" s="2"/>
      <c r="C681" s="14"/>
      <c r="D681" s="3"/>
      <c r="E681" s="1"/>
      <c r="F681" s="1"/>
      <c r="G681" s="1"/>
      <c r="H681" s="1"/>
      <c r="I681" s="4"/>
      <c r="J681" s="5"/>
      <c r="K681" s="5"/>
      <c r="L681" s="5"/>
      <c r="M681" s="5"/>
      <c r="N681" s="5"/>
      <c r="O681" s="4"/>
      <c r="P681" s="5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2"/>
      <c r="B682" s="2"/>
      <c r="C682" s="14"/>
      <c r="D682" s="3"/>
      <c r="E682" s="1"/>
      <c r="F682" s="1"/>
      <c r="G682" s="1"/>
      <c r="H682" s="1"/>
      <c r="I682" s="4"/>
      <c r="J682" s="5"/>
      <c r="K682" s="5"/>
      <c r="L682" s="5"/>
      <c r="M682" s="5"/>
      <c r="N682" s="5"/>
      <c r="O682" s="4"/>
      <c r="P682" s="5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2"/>
      <c r="B683" s="2"/>
      <c r="C683" s="14"/>
      <c r="D683" s="3"/>
      <c r="E683" s="1"/>
      <c r="F683" s="1"/>
      <c r="G683" s="1"/>
      <c r="H683" s="1"/>
      <c r="I683" s="4"/>
      <c r="J683" s="5"/>
      <c r="K683" s="5"/>
      <c r="L683" s="5"/>
      <c r="M683" s="5"/>
      <c r="N683" s="5"/>
      <c r="O683" s="4"/>
      <c r="P683" s="5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2"/>
      <c r="B684" s="2"/>
      <c r="C684" s="14"/>
      <c r="D684" s="3"/>
      <c r="E684" s="1"/>
      <c r="F684" s="1"/>
      <c r="G684" s="1"/>
      <c r="H684" s="1"/>
      <c r="I684" s="4"/>
      <c r="J684" s="5"/>
      <c r="K684" s="5"/>
      <c r="L684" s="5"/>
      <c r="M684" s="5"/>
      <c r="N684" s="5"/>
      <c r="O684" s="4"/>
      <c r="P684" s="5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2"/>
      <c r="B685" s="2"/>
      <c r="C685" s="14"/>
      <c r="D685" s="3"/>
      <c r="E685" s="1"/>
      <c r="F685" s="1"/>
      <c r="G685" s="1"/>
      <c r="H685" s="1"/>
      <c r="I685" s="4"/>
      <c r="J685" s="5"/>
      <c r="K685" s="5"/>
      <c r="L685" s="5"/>
      <c r="M685" s="5"/>
      <c r="N685" s="5"/>
      <c r="O685" s="4"/>
      <c r="P685" s="5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2"/>
      <c r="B686" s="2"/>
      <c r="C686" s="14"/>
      <c r="D686" s="3"/>
      <c r="E686" s="1"/>
      <c r="F686" s="1"/>
      <c r="G686" s="1"/>
      <c r="H686" s="1"/>
      <c r="I686" s="4"/>
      <c r="J686" s="5"/>
      <c r="K686" s="5"/>
      <c r="L686" s="5"/>
      <c r="M686" s="5"/>
      <c r="N686" s="5"/>
      <c r="O686" s="4"/>
      <c r="P686" s="5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2"/>
      <c r="B687" s="2"/>
      <c r="C687" s="14"/>
      <c r="D687" s="3"/>
      <c r="E687" s="1"/>
      <c r="F687" s="1"/>
      <c r="G687" s="1"/>
      <c r="H687" s="1"/>
      <c r="I687" s="4"/>
      <c r="J687" s="5"/>
      <c r="K687" s="5"/>
      <c r="L687" s="5"/>
      <c r="M687" s="5"/>
      <c r="N687" s="5"/>
      <c r="O687" s="4"/>
      <c r="P687" s="5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2"/>
      <c r="B688" s="2"/>
      <c r="C688" s="14"/>
      <c r="D688" s="3"/>
      <c r="E688" s="1"/>
      <c r="F688" s="1"/>
      <c r="G688" s="1"/>
      <c r="H688" s="1"/>
      <c r="I688" s="4"/>
      <c r="J688" s="5"/>
      <c r="K688" s="5"/>
      <c r="L688" s="5"/>
      <c r="M688" s="5"/>
      <c r="N688" s="5"/>
      <c r="O688" s="4"/>
      <c r="P688" s="5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2"/>
      <c r="B689" s="2"/>
      <c r="C689" s="14"/>
      <c r="D689" s="3"/>
      <c r="E689" s="1"/>
      <c r="F689" s="1"/>
      <c r="G689" s="1"/>
      <c r="H689" s="1"/>
      <c r="I689" s="4"/>
      <c r="J689" s="5"/>
      <c r="K689" s="5"/>
      <c r="L689" s="5"/>
      <c r="M689" s="5"/>
      <c r="N689" s="5"/>
      <c r="O689" s="4"/>
      <c r="P689" s="5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2"/>
      <c r="B690" s="2"/>
      <c r="C690" s="14"/>
      <c r="D690" s="3"/>
      <c r="E690" s="1"/>
      <c r="F690" s="1"/>
      <c r="G690" s="1"/>
      <c r="H690" s="1"/>
      <c r="I690" s="4"/>
      <c r="J690" s="5"/>
      <c r="K690" s="5"/>
      <c r="L690" s="5"/>
      <c r="M690" s="5"/>
      <c r="N690" s="5"/>
      <c r="O690" s="4"/>
      <c r="P690" s="5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2"/>
      <c r="B691" s="2"/>
      <c r="C691" s="14"/>
      <c r="D691" s="3"/>
      <c r="E691" s="1"/>
      <c r="F691" s="1"/>
      <c r="G691" s="1"/>
      <c r="H691" s="1"/>
      <c r="I691" s="4"/>
      <c r="J691" s="5"/>
      <c r="K691" s="5"/>
      <c r="L691" s="5"/>
      <c r="M691" s="5"/>
      <c r="N691" s="5"/>
      <c r="O691" s="4"/>
      <c r="P691" s="5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2"/>
      <c r="B692" s="2"/>
      <c r="C692" s="14"/>
      <c r="D692" s="3"/>
      <c r="E692" s="1"/>
      <c r="F692" s="1"/>
      <c r="G692" s="1"/>
      <c r="H692" s="1"/>
      <c r="I692" s="4"/>
      <c r="J692" s="5"/>
      <c r="K692" s="5"/>
      <c r="L692" s="5"/>
      <c r="M692" s="5"/>
      <c r="N692" s="5"/>
      <c r="O692" s="4"/>
      <c r="P692" s="5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2"/>
      <c r="B693" s="2"/>
      <c r="C693" s="14"/>
      <c r="D693" s="3"/>
      <c r="E693" s="1"/>
      <c r="F693" s="1"/>
      <c r="G693" s="1"/>
      <c r="H693" s="1"/>
      <c r="I693" s="4"/>
      <c r="J693" s="5"/>
      <c r="K693" s="5"/>
      <c r="L693" s="5"/>
      <c r="M693" s="5"/>
      <c r="N693" s="5"/>
      <c r="O693" s="4"/>
      <c r="P693" s="5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2"/>
      <c r="B694" s="2"/>
      <c r="C694" s="14"/>
      <c r="D694" s="3"/>
      <c r="E694" s="1"/>
      <c r="F694" s="1"/>
      <c r="G694" s="1"/>
      <c r="H694" s="1"/>
      <c r="I694" s="4"/>
      <c r="J694" s="5"/>
      <c r="K694" s="5"/>
      <c r="L694" s="5"/>
      <c r="M694" s="5"/>
      <c r="N694" s="5"/>
      <c r="O694" s="4"/>
      <c r="P694" s="5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2"/>
      <c r="B695" s="2"/>
      <c r="C695" s="14"/>
      <c r="D695" s="3"/>
      <c r="E695" s="1"/>
      <c r="F695" s="1"/>
      <c r="G695" s="1"/>
      <c r="H695" s="1"/>
      <c r="I695" s="4"/>
      <c r="J695" s="5"/>
      <c r="K695" s="5"/>
      <c r="L695" s="5"/>
      <c r="M695" s="5"/>
      <c r="N695" s="5"/>
      <c r="O695" s="4"/>
      <c r="P695" s="5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2"/>
      <c r="B696" s="2"/>
      <c r="C696" s="14"/>
      <c r="D696" s="3"/>
      <c r="E696" s="1"/>
      <c r="F696" s="1"/>
      <c r="G696" s="1"/>
      <c r="H696" s="1"/>
      <c r="I696" s="4"/>
      <c r="J696" s="5"/>
      <c r="K696" s="5"/>
      <c r="L696" s="5"/>
      <c r="M696" s="5"/>
      <c r="N696" s="5"/>
      <c r="O696" s="4"/>
      <c r="P696" s="5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2"/>
      <c r="B697" s="2"/>
      <c r="C697" s="14"/>
      <c r="D697" s="3"/>
      <c r="E697" s="1"/>
      <c r="F697" s="1"/>
      <c r="G697" s="1"/>
      <c r="H697" s="1"/>
      <c r="I697" s="4"/>
      <c r="J697" s="5"/>
      <c r="K697" s="5"/>
      <c r="L697" s="5"/>
      <c r="M697" s="5"/>
      <c r="N697" s="5"/>
      <c r="O697" s="4"/>
      <c r="P697" s="5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2"/>
      <c r="B698" s="2"/>
      <c r="C698" s="14"/>
      <c r="D698" s="3"/>
      <c r="E698" s="1"/>
      <c r="F698" s="1"/>
      <c r="G698" s="1"/>
      <c r="H698" s="1"/>
      <c r="I698" s="4"/>
      <c r="J698" s="5"/>
      <c r="K698" s="5"/>
      <c r="L698" s="5"/>
      <c r="M698" s="5"/>
      <c r="N698" s="5"/>
      <c r="O698" s="4"/>
      <c r="P698" s="5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2"/>
      <c r="B699" s="2"/>
      <c r="C699" s="14"/>
      <c r="D699" s="3"/>
      <c r="E699" s="1"/>
      <c r="F699" s="1"/>
      <c r="G699" s="1"/>
      <c r="H699" s="1"/>
      <c r="I699" s="4"/>
      <c r="J699" s="5"/>
      <c r="K699" s="5"/>
      <c r="L699" s="5"/>
      <c r="M699" s="5"/>
      <c r="N699" s="5"/>
      <c r="O699" s="4"/>
      <c r="P699" s="5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2"/>
      <c r="B700" s="2"/>
      <c r="C700" s="14"/>
      <c r="D700" s="3"/>
      <c r="E700" s="1"/>
      <c r="F700" s="1"/>
      <c r="G700" s="1"/>
      <c r="H700" s="1"/>
      <c r="I700" s="4"/>
      <c r="J700" s="5"/>
      <c r="K700" s="5"/>
      <c r="L700" s="5"/>
      <c r="M700" s="5"/>
      <c r="N700" s="5"/>
      <c r="O700" s="4"/>
      <c r="P700" s="5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2"/>
      <c r="B701" s="2"/>
      <c r="C701" s="14"/>
      <c r="D701" s="3"/>
      <c r="E701" s="1"/>
      <c r="F701" s="1"/>
      <c r="G701" s="1"/>
      <c r="H701" s="1"/>
      <c r="I701" s="4"/>
      <c r="J701" s="5"/>
      <c r="K701" s="5"/>
      <c r="L701" s="5"/>
      <c r="M701" s="5"/>
      <c r="N701" s="5"/>
      <c r="O701" s="4"/>
      <c r="P701" s="5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2"/>
      <c r="B702" s="2"/>
      <c r="C702" s="14"/>
      <c r="D702" s="3"/>
      <c r="E702" s="1"/>
      <c r="F702" s="1"/>
      <c r="G702" s="1"/>
      <c r="H702" s="1"/>
      <c r="I702" s="4"/>
      <c r="J702" s="5"/>
      <c r="K702" s="5"/>
      <c r="L702" s="5"/>
      <c r="M702" s="5"/>
      <c r="N702" s="5"/>
      <c r="O702" s="4"/>
      <c r="P702" s="5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2"/>
      <c r="B703" s="2"/>
      <c r="C703" s="14"/>
      <c r="D703" s="3"/>
      <c r="E703" s="1"/>
      <c r="F703" s="1"/>
      <c r="G703" s="1"/>
      <c r="H703" s="1"/>
      <c r="I703" s="4"/>
      <c r="J703" s="5"/>
      <c r="K703" s="5"/>
      <c r="L703" s="5"/>
      <c r="M703" s="5"/>
      <c r="N703" s="5"/>
      <c r="O703" s="4"/>
      <c r="P703" s="5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2"/>
      <c r="B704" s="2"/>
      <c r="C704" s="14"/>
      <c r="D704" s="3"/>
      <c r="E704" s="1"/>
      <c r="F704" s="1"/>
      <c r="G704" s="1"/>
      <c r="H704" s="1"/>
      <c r="I704" s="4"/>
      <c r="J704" s="5"/>
      <c r="K704" s="5"/>
      <c r="L704" s="5"/>
      <c r="M704" s="5"/>
      <c r="N704" s="5"/>
      <c r="O704" s="4"/>
      <c r="P704" s="5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2"/>
      <c r="B705" s="2"/>
      <c r="C705" s="14"/>
      <c r="D705" s="3"/>
      <c r="E705" s="1"/>
      <c r="F705" s="1"/>
      <c r="G705" s="1"/>
      <c r="H705" s="1"/>
      <c r="I705" s="4"/>
      <c r="J705" s="5"/>
      <c r="K705" s="5"/>
      <c r="L705" s="5"/>
      <c r="M705" s="5"/>
      <c r="N705" s="5"/>
      <c r="O705" s="4"/>
      <c r="P705" s="5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2"/>
      <c r="B706" s="2"/>
      <c r="C706" s="14"/>
      <c r="D706" s="3"/>
      <c r="E706" s="1"/>
      <c r="F706" s="1"/>
      <c r="G706" s="1"/>
      <c r="H706" s="1"/>
      <c r="I706" s="4"/>
      <c r="J706" s="5"/>
      <c r="K706" s="5"/>
      <c r="L706" s="5"/>
      <c r="M706" s="5"/>
      <c r="N706" s="5"/>
      <c r="O706" s="4"/>
      <c r="P706" s="5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2"/>
      <c r="B707" s="2"/>
      <c r="C707" s="14"/>
      <c r="D707" s="3"/>
      <c r="E707" s="1"/>
      <c r="F707" s="1"/>
      <c r="G707" s="1"/>
      <c r="H707" s="1"/>
      <c r="I707" s="4"/>
      <c r="J707" s="5"/>
      <c r="K707" s="5"/>
      <c r="L707" s="5"/>
      <c r="M707" s="5"/>
      <c r="N707" s="5"/>
      <c r="O707" s="4"/>
      <c r="P707" s="5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2"/>
      <c r="B708" s="2"/>
      <c r="C708" s="14"/>
      <c r="D708" s="3"/>
      <c r="E708" s="1"/>
      <c r="F708" s="1"/>
      <c r="G708" s="1"/>
      <c r="H708" s="1"/>
      <c r="I708" s="4"/>
      <c r="J708" s="5"/>
      <c r="K708" s="5"/>
      <c r="L708" s="5"/>
      <c r="M708" s="5"/>
      <c r="N708" s="5"/>
      <c r="O708" s="4"/>
      <c r="P708" s="5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2"/>
      <c r="B709" s="2"/>
      <c r="C709" s="14"/>
      <c r="D709" s="3"/>
      <c r="E709" s="1"/>
      <c r="F709" s="1"/>
      <c r="G709" s="1"/>
      <c r="H709" s="1"/>
      <c r="I709" s="4"/>
      <c r="J709" s="5"/>
      <c r="K709" s="5"/>
      <c r="L709" s="5"/>
      <c r="M709" s="5"/>
      <c r="N709" s="5"/>
      <c r="O709" s="4"/>
      <c r="P709" s="5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2"/>
      <c r="B710" s="2"/>
      <c r="C710" s="14"/>
      <c r="D710" s="3"/>
      <c r="E710" s="1"/>
      <c r="F710" s="1"/>
      <c r="G710" s="1"/>
      <c r="H710" s="1"/>
      <c r="I710" s="4"/>
      <c r="J710" s="5"/>
      <c r="K710" s="5"/>
      <c r="L710" s="5"/>
      <c r="M710" s="5"/>
      <c r="N710" s="5"/>
      <c r="O710" s="4"/>
      <c r="P710" s="5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2"/>
      <c r="B711" s="2"/>
      <c r="C711" s="14"/>
      <c r="D711" s="3"/>
      <c r="E711" s="1"/>
      <c r="F711" s="1"/>
      <c r="G711" s="1"/>
      <c r="H711" s="1"/>
      <c r="I711" s="4"/>
      <c r="J711" s="5"/>
      <c r="K711" s="5"/>
      <c r="L711" s="5"/>
      <c r="M711" s="5"/>
      <c r="N711" s="5"/>
      <c r="O711" s="4"/>
      <c r="P711" s="5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2"/>
      <c r="B712" s="2"/>
      <c r="C712" s="14"/>
      <c r="D712" s="3"/>
      <c r="E712" s="1"/>
      <c r="F712" s="1"/>
      <c r="G712" s="1"/>
      <c r="H712" s="1"/>
      <c r="I712" s="4"/>
      <c r="J712" s="5"/>
      <c r="K712" s="5"/>
      <c r="L712" s="5"/>
      <c r="M712" s="5"/>
      <c r="N712" s="5"/>
      <c r="O712" s="4"/>
      <c r="P712" s="5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2"/>
      <c r="B713" s="2"/>
      <c r="C713" s="14"/>
      <c r="D713" s="3"/>
      <c r="E713" s="1"/>
      <c r="F713" s="1"/>
      <c r="G713" s="1"/>
      <c r="H713" s="1"/>
      <c r="I713" s="4"/>
      <c r="J713" s="5"/>
      <c r="K713" s="5"/>
      <c r="L713" s="5"/>
      <c r="M713" s="5"/>
      <c r="N713" s="5"/>
      <c r="O713" s="4"/>
      <c r="P713" s="5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2"/>
      <c r="B714" s="2"/>
      <c r="C714" s="14"/>
      <c r="D714" s="3"/>
      <c r="E714" s="1"/>
      <c r="F714" s="1"/>
      <c r="G714" s="1"/>
      <c r="H714" s="1"/>
      <c r="I714" s="4"/>
      <c r="J714" s="5"/>
      <c r="K714" s="5"/>
      <c r="L714" s="5"/>
      <c r="M714" s="5"/>
      <c r="N714" s="5"/>
      <c r="O714" s="4"/>
      <c r="P714" s="5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2"/>
      <c r="B715" s="2"/>
      <c r="C715" s="14"/>
      <c r="D715" s="3"/>
      <c r="E715" s="1"/>
      <c r="F715" s="1"/>
      <c r="G715" s="1"/>
      <c r="H715" s="1"/>
      <c r="I715" s="4"/>
      <c r="J715" s="5"/>
      <c r="K715" s="5"/>
      <c r="L715" s="5"/>
      <c r="M715" s="5"/>
      <c r="N715" s="5"/>
      <c r="O715" s="4"/>
      <c r="P715" s="5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2"/>
      <c r="B716" s="2"/>
      <c r="C716" s="14"/>
      <c r="D716" s="3"/>
      <c r="E716" s="1"/>
      <c r="F716" s="1"/>
      <c r="G716" s="1"/>
      <c r="H716" s="1"/>
      <c r="I716" s="4"/>
      <c r="J716" s="5"/>
      <c r="K716" s="5"/>
      <c r="L716" s="5"/>
      <c r="M716" s="5"/>
      <c r="N716" s="5"/>
      <c r="O716" s="4"/>
      <c r="P716" s="5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2"/>
      <c r="B717" s="2"/>
      <c r="C717" s="14"/>
      <c r="D717" s="3"/>
      <c r="E717" s="1"/>
      <c r="F717" s="1"/>
      <c r="G717" s="1"/>
      <c r="H717" s="1"/>
      <c r="I717" s="4"/>
      <c r="J717" s="5"/>
      <c r="K717" s="5"/>
      <c r="L717" s="5"/>
      <c r="M717" s="5"/>
      <c r="N717" s="5"/>
      <c r="O717" s="4"/>
      <c r="P717" s="5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2"/>
      <c r="B718" s="2"/>
      <c r="C718" s="14"/>
      <c r="D718" s="3"/>
      <c r="E718" s="1"/>
      <c r="F718" s="1"/>
      <c r="G718" s="1"/>
      <c r="H718" s="1"/>
      <c r="I718" s="4"/>
      <c r="J718" s="5"/>
      <c r="K718" s="5"/>
      <c r="L718" s="5"/>
      <c r="M718" s="5"/>
      <c r="N718" s="5"/>
      <c r="O718" s="4"/>
      <c r="P718" s="5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2"/>
      <c r="B719" s="2"/>
      <c r="C719" s="14"/>
      <c r="D719" s="3"/>
      <c r="E719" s="1"/>
      <c r="F719" s="1"/>
      <c r="G719" s="1"/>
      <c r="H719" s="1"/>
      <c r="I719" s="4"/>
      <c r="J719" s="5"/>
      <c r="K719" s="5"/>
      <c r="L719" s="5"/>
      <c r="M719" s="5"/>
      <c r="N719" s="5"/>
      <c r="O719" s="4"/>
      <c r="P719" s="5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2"/>
      <c r="B720" s="2"/>
      <c r="C720" s="14"/>
      <c r="D720" s="3"/>
      <c r="E720" s="1"/>
      <c r="F720" s="1"/>
      <c r="G720" s="1"/>
      <c r="H720" s="1"/>
      <c r="I720" s="4"/>
      <c r="J720" s="5"/>
      <c r="K720" s="5"/>
      <c r="L720" s="5"/>
      <c r="M720" s="5"/>
      <c r="N720" s="5"/>
      <c r="O720" s="4"/>
      <c r="P720" s="5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2"/>
      <c r="B721" s="2"/>
      <c r="C721" s="14"/>
      <c r="D721" s="3"/>
      <c r="E721" s="1"/>
      <c r="F721" s="1"/>
      <c r="G721" s="1"/>
      <c r="H721" s="1"/>
      <c r="I721" s="4"/>
      <c r="J721" s="5"/>
      <c r="K721" s="5"/>
      <c r="L721" s="5"/>
      <c r="M721" s="5"/>
      <c r="N721" s="5"/>
      <c r="O721" s="4"/>
      <c r="P721" s="5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2"/>
      <c r="B722" s="2"/>
      <c r="C722" s="14"/>
      <c r="D722" s="3"/>
      <c r="E722" s="1"/>
      <c r="F722" s="1"/>
      <c r="G722" s="1"/>
      <c r="H722" s="1"/>
      <c r="I722" s="4"/>
      <c r="J722" s="5"/>
      <c r="K722" s="5"/>
      <c r="L722" s="5"/>
      <c r="M722" s="5"/>
      <c r="N722" s="5"/>
      <c r="O722" s="4"/>
      <c r="P722" s="5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2"/>
      <c r="B723" s="2"/>
      <c r="C723" s="14"/>
      <c r="D723" s="3"/>
      <c r="E723" s="1"/>
      <c r="F723" s="1"/>
      <c r="G723" s="1"/>
      <c r="H723" s="1"/>
      <c r="I723" s="4"/>
      <c r="J723" s="5"/>
      <c r="K723" s="5"/>
      <c r="L723" s="5"/>
      <c r="M723" s="5"/>
      <c r="N723" s="5"/>
      <c r="O723" s="4"/>
      <c r="P723" s="5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2"/>
      <c r="B724" s="2"/>
      <c r="C724" s="14"/>
      <c r="D724" s="3"/>
      <c r="E724" s="1"/>
      <c r="F724" s="1"/>
      <c r="G724" s="1"/>
      <c r="H724" s="1"/>
      <c r="I724" s="4"/>
      <c r="J724" s="5"/>
      <c r="K724" s="5"/>
      <c r="L724" s="5"/>
      <c r="M724" s="5"/>
      <c r="N724" s="5"/>
      <c r="O724" s="4"/>
      <c r="P724" s="5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2"/>
      <c r="B725" s="2"/>
      <c r="C725" s="14"/>
      <c r="D725" s="3"/>
      <c r="E725" s="1"/>
      <c r="F725" s="1"/>
      <c r="G725" s="1"/>
      <c r="H725" s="1"/>
      <c r="I725" s="4"/>
      <c r="J725" s="5"/>
      <c r="K725" s="5"/>
      <c r="L725" s="5"/>
      <c r="M725" s="5"/>
      <c r="N725" s="5"/>
      <c r="O725" s="4"/>
      <c r="P725" s="5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2"/>
      <c r="B726" s="2"/>
      <c r="C726" s="14"/>
      <c r="D726" s="3"/>
      <c r="E726" s="1"/>
      <c r="F726" s="1"/>
      <c r="G726" s="1"/>
      <c r="H726" s="1"/>
      <c r="I726" s="4"/>
      <c r="J726" s="5"/>
      <c r="K726" s="5"/>
      <c r="L726" s="5"/>
      <c r="M726" s="5"/>
      <c r="N726" s="5"/>
      <c r="O726" s="4"/>
      <c r="P726" s="5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2"/>
      <c r="B727" s="2"/>
      <c r="C727" s="14"/>
      <c r="D727" s="3"/>
      <c r="E727" s="1"/>
      <c r="F727" s="1"/>
      <c r="G727" s="1"/>
      <c r="H727" s="1"/>
      <c r="I727" s="4"/>
      <c r="J727" s="5"/>
      <c r="K727" s="5"/>
      <c r="L727" s="5"/>
      <c r="M727" s="5"/>
      <c r="N727" s="5"/>
      <c r="O727" s="4"/>
      <c r="P727" s="5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2"/>
      <c r="B728" s="2"/>
      <c r="C728" s="14"/>
      <c r="D728" s="3"/>
      <c r="E728" s="1"/>
      <c r="F728" s="1"/>
      <c r="G728" s="1"/>
      <c r="H728" s="1"/>
      <c r="I728" s="4"/>
      <c r="J728" s="5"/>
      <c r="K728" s="5"/>
      <c r="L728" s="5"/>
      <c r="M728" s="5"/>
      <c r="N728" s="5"/>
      <c r="O728" s="4"/>
      <c r="P728" s="5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2"/>
      <c r="B729" s="2"/>
      <c r="C729" s="14"/>
      <c r="D729" s="3"/>
      <c r="E729" s="1"/>
      <c r="F729" s="1"/>
      <c r="G729" s="1"/>
      <c r="H729" s="1"/>
      <c r="I729" s="4"/>
      <c r="J729" s="5"/>
      <c r="K729" s="5"/>
      <c r="L729" s="5"/>
      <c r="M729" s="5"/>
      <c r="N729" s="5"/>
      <c r="O729" s="4"/>
      <c r="P729" s="5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2"/>
      <c r="B730" s="2"/>
      <c r="C730" s="14"/>
      <c r="D730" s="3"/>
      <c r="E730" s="1"/>
      <c r="F730" s="1"/>
      <c r="G730" s="1"/>
      <c r="H730" s="1"/>
      <c r="I730" s="4"/>
      <c r="J730" s="5"/>
      <c r="K730" s="5"/>
      <c r="L730" s="5"/>
      <c r="M730" s="5"/>
      <c r="N730" s="5"/>
      <c r="O730" s="4"/>
      <c r="P730" s="5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2"/>
      <c r="B731" s="2"/>
      <c r="C731" s="14"/>
      <c r="D731" s="3"/>
      <c r="E731" s="1"/>
      <c r="F731" s="1"/>
      <c r="G731" s="1"/>
      <c r="H731" s="1"/>
      <c r="I731" s="4"/>
      <c r="J731" s="5"/>
      <c r="K731" s="5"/>
      <c r="L731" s="5"/>
      <c r="M731" s="5"/>
      <c r="N731" s="5"/>
      <c r="O731" s="4"/>
      <c r="P731" s="5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2"/>
      <c r="B732" s="2"/>
      <c r="C732" s="14"/>
      <c r="D732" s="3"/>
      <c r="E732" s="1"/>
      <c r="F732" s="1"/>
      <c r="G732" s="1"/>
      <c r="H732" s="1"/>
      <c r="I732" s="4"/>
      <c r="J732" s="5"/>
      <c r="K732" s="5"/>
      <c r="L732" s="5"/>
      <c r="M732" s="5"/>
      <c r="N732" s="5"/>
      <c r="O732" s="4"/>
      <c r="P732" s="5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2"/>
      <c r="B733" s="2"/>
      <c r="C733" s="14"/>
      <c r="D733" s="3"/>
      <c r="E733" s="1"/>
      <c r="F733" s="1"/>
      <c r="G733" s="1"/>
      <c r="H733" s="1"/>
      <c r="I733" s="4"/>
      <c r="J733" s="5"/>
      <c r="K733" s="5"/>
      <c r="L733" s="5"/>
      <c r="M733" s="5"/>
      <c r="N733" s="5"/>
      <c r="O733" s="4"/>
      <c r="P733" s="5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2"/>
      <c r="B734" s="2"/>
      <c r="C734" s="14"/>
      <c r="D734" s="3"/>
      <c r="E734" s="1"/>
      <c r="F734" s="1"/>
      <c r="G734" s="1"/>
      <c r="H734" s="1"/>
      <c r="I734" s="4"/>
      <c r="J734" s="5"/>
      <c r="K734" s="5"/>
      <c r="L734" s="5"/>
      <c r="M734" s="5"/>
      <c r="N734" s="5"/>
      <c r="O734" s="4"/>
      <c r="P734" s="5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2"/>
      <c r="B735" s="2"/>
      <c r="C735" s="14"/>
      <c r="D735" s="3"/>
      <c r="E735" s="1"/>
      <c r="F735" s="1"/>
      <c r="G735" s="1"/>
      <c r="H735" s="1"/>
      <c r="I735" s="4"/>
      <c r="J735" s="5"/>
      <c r="K735" s="5"/>
      <c r="L735" s="5"/>
      <c r="M735" s="5"/>
      <c r="N735" s="5"/>
      <c r="O735" s="4"/>
      <c r="P735" s="5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2"/>
      <c r="B736" s="2"/>
      <c r="C736" s="14"/>
      <c r="D736" s="3"/>
      <c r="E736" s="1"/>
      <c r="F736" s="1"/>
      <c r="G736" s="1"/>
      <c r="H736" s="1"/>
      <c r="I736" s="4"/>
      <c r="J736" s="5"/>
      <c r="K736" s="5"/>
      <c r="L736" s="5"/>
      <c r="M736" s="5"/>
      <c r="N736" s="5"/>
      <c r="O736" s="4"/>
      <c r="P736" s="5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2"/>
      <c r="B737" s="2"/>
      <c r="C737" s="14"/>
      <c r="D737" s="3"/>
      <c r="E737" s="1"/>
      <c r="F737" s="1"/>
      <c r="G737" s="1"/>
      <c r="H737" s="1"/>
      <c r="I737" s="4"/>
      <c r="J737" s="5"/>
      <c r="K737" s="5"/>
      <c r="L737" s="5"/>
      <c r="M737" s="5"/>
      <c r="N737" s="5"/>
      <c r="O737" s="4"/>
      <c r="P737" s="5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2"/>
      <c r="B738" s="2"/>
      <c r="C738" s="14"/>
      <c r="D738" s="3"/>
      <c r="E738" s="1"/>
      <c r="F738" s="1"/>
      <c r="G738" s="1"/>
      <c r="H738" s="1"/>
      <c r="I738" s="4"/>
      <c r="J738" s="5"/>
      <c r="K738" s="5"/>
      <c r="L738" s="5"/>
      <c r="M738" s="5"/>
      <c r="N738" s="5"/>
      <c r="O738" s="4"/>
      <c r="P738" s="5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2"/>
      <c r="B739" s="2"/>
      <c r="C739" s="14"/>
      <c r="D739" s="3"/>
      <c r="E739" s="1"/>
      <c r="F739" s="1"/>
      <c r="G739" s="1"/>
      <c r="H739" s="1"/>
      <c r="I739" s="4"/>
      <c r="J739" s="5"/>
      <c r="K739" s="5"/>
      <c r="L739" s="5"/>
      <c r="M739" s="5"/>
      <c r="N739" s="5"/>
      <c r="O739" s="4"/>
      <c r="P739" s="5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2"/>
      <c r="B740" s="2"/>
      <c r="C740" s="14"/>
      <c r="D740" s="3"/>
      <c r="E740" s="1"/>
      <c r="F740" s="1"/>
      <c r="G740" s="1"/>
      <c r="H740" s="1"/>
      <c r="I740" s="4"/>
      <c r="J740" s="5"/>
      <c r="K740" s="5"/>
      <c r="L740" s="5"/>
      <c r="M740" s="5"/>
      <c r="N740" s="5"/>
      <c r="O740" s="4"/>
      <c r="P740" s="5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2"/>
      <c r="B741" s="2"/>
      <c r="C741" s="14"/>
      <c r="D741" s="3"/>
      <c r="E741" s="1"/>
      <c r="F741" s="1"/>
      <c r="G741" s="1"/>
      <c r="H741" s="1"/>
      <c r="I741" s="4"/>
      <c r="J741" s="5"/>
      <c r="K741" s="5"/>
      <c r="L741" s="5"/>
      <c r="M741" s="5"/>
      <c r="N741" s="5"/>
      <c r="O741" s="4"/>
      <c r="P741" s="5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2"/>
      <c r="B742" s="2"/>
      <c r="C742" s="14"/>
      <c r="D742" s="3"/>
      <c r="E742" s="1"/>
      <c r="F742" s="1"/>
      <c r="G742" s="1"/>
      <c r="H742" s="1"/>
      <c r="I742" s="4"/>
      <c r="J742" s="5"/>
      <c r="K742" s="5"/>
      <c r="L742" s="5"/>
      <c r="M742" s="5"/>
      <c r="N742" s="5"/>
      <c r="O742" s="4"/>
      <c r="P742" s="5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2"/>
      <c r="B743" s="2"/>
      <c r="C743" s="14"/>
      <c r="D743" s="3"/>
      <c r="E743" s="1"/>
      <c r="F743" s="1"/>
      <c r="G743" s="1"/>
      <c r="H743" s="1"/>
      <c r="I743" s="4"/>
      <c r="J743" s="5"/>
      <c r="K743" s="5"/>
      <c r="L743" s="5"/>
      <c r="M743" s="5"/>
      <c r="N743" s="5"/>
      <c r="O743" s="4"/>
      <c r="P743" s="5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2"/>
      <c r="B744" s="2"/>
      <c r="C744" s="14"/>
      <c r="D744" s="3"/>
      <c r="E744" s="1"/>
      <c r="F744" s="1"/>
      <c r="G744" s="1"/>
      <c r="H744" s="1"/>
      <c r="I744" s="4"/>
      <c r="J744" s="5"/>
      <c r="K744" s="5"/>
      <c r="L744" s="5"/>
      <c r="M744" s="5"/>
      <c r="N744" s="5"/>
      <c r="O744" s="4"/>
      <c r="P744" s="5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2"/>
      <c r="B745" s="2"/>
      <c r="C745" s="14"/>
      <c r="D745" s="3"/>
      <c r="E745" s="1"/>
      <c r="F745" s="1"/>
      <c r="G745" s="1"/>
      <c r="H745" s="1"/>
      <c r="I745" s="4"/>
      <c r="J745" s="5"/>
      <c r="K745" s="5"/>
      <c r="L745" s="5"/>
      <c r="M745" s="5"/>
      <c r="N745" s="5"/>
      <c r="O745" s="4"/>
      <c r="P745" s="5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2"/>
      <c r="B746" s="2"/>
      <c r="C746" s="14"/>
      <c r="D746" s="3"/>
      <c r="E746" s="1"/>
      <c r="F746" s="1"/>
      <c r="G746" s="1"/>
      <c r="H746" s="1"/>
      <c r="I746" s="4"/>
      <c r="J746" s="5"/>
      <c r="K746" s="5"/>
      <c r="L746" s="5"/>
      <c r="M746" s="5"/>
      <c r="N746" s="5"/>
      <c r="O746" s="4"/>
      <c r="P746" s="5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2"/>
      <c r="B747" s="2"/>
      <c r="C747" s="14"/>
      <c r="D747" s="3"/>
      <c r="E747" s="1"/>
      <c r="F747" s="1"/>
      <c r="G747" s="1"/>
      <c r="H747" s="1"/>
      <c r="I747" s="4"/>
      <c r="J747" s="5"/>
      <c r="K747" s="5"/>
      <c r="L747" s="5"/>
      <c r="M747" s="5"/>
      <c r="N747" s="5"/>
      <c r="O747" s="4"/>
      <c r="P747" s="5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2"/>
      <c r="B748" s="2"/>
      <c r="C748" s="14"/>
      <c r="D748" s="3"/>
      <c r="E748" s="1"/>
      <c r="F748" s="1"/>
      <c r="G748" s="1"/>
      <c r="H748" s="1"/>
      <c r="I748" s="4"/>
      <c r="J748" s="5"/>
      <c r="K748" s="5"/>
      <c r="L748" s="5"/>
      <c r="M748" s="5"/>
      <c r="N748" s="5"/>
      <c r="O748" s="4"/>
      <c r="P748" s="5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2"/>
      <c r="B749" s="2"/>
      <c r="C749" s="14"/>
      <c r="D749" s="3"/>
      <c r="E749" s="1"/>
      <c r="F749" s="1"/>
      <c r="G749" s="1"/>
      <c r="H749" s="1"/>
      <c r="I749" s="4"/>
      <c r="J749" s="5"/>
      <c r="K749" s="5"/>
      <c r="L749" s="5"/>
      <c r="M749" s="5"/>
      <c r="N749" s="5"/>
      <c r="O749" s="4"/>
      <c r="P749" s="5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2"/>
      <c r="B750" s="2"/>
      <c r="C750" s="14"/>
      <c r="D750" s="3"/>
      <c r="E750" s="1"/>
      <c r="F750" s="1"/>
      <c r="G750" s="1"/>
      <c r="H750" s="1"/>
      <c r="I750" s="4"/>
      <c r="J750" s="5"/>
      <c r="K750" s="5"/>
      <c r="L750" s="5"/>
      <c r="M750" s="5"/>
      <c r="N750" s="5"/>
      <c r="O750" s="4"/>
      <c r="P750" s="5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2"/>
      <c r="B751" s="2"/>
      <c r="C751" s="14"/>
      <c r="D751" s="3"/>
      <c r="E751" s="1"/>
      <c r="F751" s="1"/>
      <c r="G751" s="1"/>
      <c r="H751" s="1"/>
      <c r="I751" s="4"/>
      <c r="J751" s="5"/>
      <c r="K751" s="5"/>
      <c r="L751" s="5"/>
      <c r="M751" s="5"/>
      <c r="N751" s="5"/>
      <c r="O751" s="4"/>
      <c r="P751" s="5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2"/>
      <c r="B752" s="2"/>
      <c r="C752" s="14"/>
      <c r="D752" s="3"/>
      <c r="E752" s="1"/>
      <c r="F752" s="1"/>
      <c r="G752" s="1"/>
      <c r="H752" s="1"/>
      <c r="I752" s="4"/>
      <c r="J752" s="5"/>
      <c r="K752" s="5"/>
      <c r="L752" s="5"/>
      <c r="M752" s="5"/>
      <c r="N752" s="5"/>
      <c r="O752" s="4"/>
      <c r="P752" s="5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2"/>
      <c r="B753" s="2"/>
      <c r="C753" s="14"/>
      <c r="D753" s="3"/>
      <c r="E753" s="1"/>
      <c r="F753" s="1"/>
      <c r="G753" s="1"/>
      <c r="H753" s="1"/>
      <c r="I753" s="4"/>
      <c r="J753" s="5"/>
      <c r="K753" s="5"/>
      <c r="L753" s="5"/>
      <c r="M753" s="5"/>
      <c r="N753" s="5"/>
      <c r="O753" s="4"/>
      <c r="P753" s="5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2"/>
      <c r="B754" s="2"/>
      <c r="C754" s="14"/>
      <c r="D754" s="3"/>
      <c r="E754" s="1"/>
      <c r="F754" s="1"/>
      <c r="G754" s="1"/>
      <c r="H754" s="1"/>
      <c r="I754" s="4"/>
      <c r="J754" s="5"/>
      <c r="K754" s="5"/>
      <c r="L754" s="5"/>
      <c r="M754" s="5"/>
      <c r="N754" s="5"/>
      <c r="O754" s="4"/>
      <c r="P754" s="5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2"/>
      <c r="B755" s="2"/>
      <c r="C755" s="14"/>
      <c r="D755" s="3"/>
      <c r="E755" s="1"/>
      <c r="F755" s="1"/>
      <c r="G755" s="1"/>
      <c r="H755" s="1"/>
      <c r="I755" s="4"/>
      <c r="J755" s="5"/>
      <c r="K755" s="5"/>
      <c r="L755" s="5"/>
      <c r="M755" s="5"/>
      <c r="N755" s="5"/>
      <c r="O755" s="4"/>
      <c r="P755" s="5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2"/>
      <c r="B756" s="2"/>
      <c r="C756" s="14"/>
      <c r="D756" s="3"/>
      <c r="E756" s="1"/>
      <c r="F756" s="1"/>
      <c r="G756" s="1"/>
      <c r="H756" s="1"/>
      <c r="I756" s="4"/>
      <c r="J756" s="5"/>
      <c r="K756" s="5"/>
      <c r="L756" s="5"/>
      <c r="M756" s="5"/>
      <c r="N756" s="5"/>
      <c r="O756" s="4"/>
      <c r="P756" s="5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2"/>
      <c r="B757" s="2"/>
      <c r="C757" s="14"/>
      <c r="D757" s="3"/>
      <c r="E757" s="1"/>
      <c r="F757" s="1"/>
      <c r="G757" s="1"/>
      <c r="H757" s="1"/>
      <c r="I757" s="4"/>
      <c r="J757" s="5"/>
      <c r="K757" s="5"/>
      <c r="L757" s="5"/>
      <c r="M757" s="5"/>
      <c r="N757" s="5"/>
      <c r="O757" s="4"/>
      <c r="P757" s="5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2"/>
      <c r="B758" s="2"/>
      <c r="C758" s="14"/>
      <c r="D758" s="3"/>
      <c r="E758" s="1"/>
      <c r="F758" s="1"/>
      <c r="G758" s="1"/>
      <c r="H758" s="1"/>
      <c r="I758" s="4"/>
      <c r="J758" s="5"/>
      <c r="K758" s="5"/>
      <c r="L758" s="5"/>
      <c r="M758" s="5"/>
      <c r="N758" s="5"/>
      <c r="O758" s="4"/>
      <c r="P758" s="5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2"/>
      <c r="B759" s="2"/>
      <c r="C759" s="14"/>
      <c r="D759" s="3"/>
      <c r="E759" s="1"/>
      <c r="F759" s="1"/>
      <c r="G759" s="1"/>
      <c r="H759" s="1"/>
      <c r="I759" s="4"/>
      <c r="J759" s="5"/>
      <c r="K759" s="5"/>
      <c r="L759" s="5"/>
      <c r="M759" s="5"/>
      <c r="N759" s="5"/>
      <c r="O759" s="4"/>
      <c r="P759" s="5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2"/>
      <c r="B760" s="2"/>
      <c r="C760" s="14"/>
      <c r="D760" s="3"/>
      <c r="E760" s="1"/>
      <c r="F760" s="1"/>
      <c r="G760" s="1"/>
      <c r="H760" s="1"/>
      <c r="I760" s="4"/>
      <c r="J760" s="5"/>
      <c r="K760" s="5"/>
      <c r="L760" s="5"/>
      <c r="M760" s="5"/>
      <c r="N760" s="5"/>
      <c r="O760" s="4"/>
      <c r="P760" s="5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2"/>
      <c r="B761" s="2"/>
      <c r="C761" s="14"/>
      <c r="D761" s="3"/>
      <c r="E761" s="1"/>
      <c r="F761" s="1"/>
      <c r="G761" s="1"/>
      <c r="H761" s="1"/>
      <c r="I761" s="4"/>
      <c r="J761" s="5"/>
      <c r="K761" s="5"/>
      <c r="L761" s="5"/>
      <c r="M761" s="5"/>
      <c r="N761" s="5"/>
      <c r="O761" s="4"/>
      <c r="P761" s="5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2"/>
      <c r="B762" s="2"/>
      <c r="C762" s="14"/>
      <c r="D762" s="3"/>
      <c r="E762" s="1"/>
      <c r="F762" s="1"/>
      <c r="G762" s="1"/>
      <c r="H762" s="1"/>
      <c r="I762" s="4"/>
      <c r="J762" s="5"/>
      <c r="K762" s="5"/>
      <c r="L762" s="5"/>
      <c r="M762" s="5"/>
      <c r="N762" s="5"/>
      <c r="O762" s="4"/>
      <c r="P762" s="5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2"/>
      <c r="B763" s="2"/>
      <c r="C763" s="14"/>
      <c r="D763" s="3"/>
      <c r="E763" s="1"/>
      <c r="F763" s="1"/>
      <c r="G763" s="1"/>
      <c r="H763" s="1"/>
      <c r="I763" s="4"/>
      <c r="J763" s="5"/>
      <c r="K763" s="5"/>
      <c r="L763" s="5"/>
      <c r="M763" s="5"/>
      <c r="N763" s="5"/>
      <c r="O763" s="4"/>
      <c r="P763" s="5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2"/>
      <c r="B764" s="2"/>
      <c r="C764" s="14"/>
      <c r="D764" s="3"/>
      <c r="E764" s="1"/>
      <c r="F764" s="1"/>
      <c r="G764" s="1"/>
      <c r="H764" s="1"/>
      <c r="I764" s="4"/>
      <c r="J764" s="5"/>
      <c r="K764" s="5"/>
      <c r="L764" s="5"/>
      <c r="M764" s="5"/>
      <c r="N764" s="5"/>
      <c r="O764" s="4"/>
      <c r="P764" s="5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2"/>
      <c r="B765" s="2"/>
      <c r="C765" s="14"/>
      <c r="D765" s="3"/>
      <c r="E765" s="1"/>
      <c r="F765" s="1"/>
      <c r="G765" s="1"/>
      <c r="H765" s="1"/>
      <c r="I765" s="4"/>
      <c r="J765" s="5"/>
      <c r="K765" s="5"/>
      <c r="L765" s="5"/>
      <c r="M765" s="5"/>
      <c r="N765" s="5"/>
      <c r="O765" s="4"/>
      <c r="P765" s="5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2"/>
      <c r="B766" s="2"/>
      <c r="C766" s="14"/>
      <c r="D766" s="3"/>
      <c r="E766" s="1"/>
      <c r="F766" s="1"/>
      <c r="G766" s="1"/>
      <c r="H766" s="1"/>
      <c r="I766" s="4"/>
      <c r="J766" s="5"/>
      <c r="K766" s="5"/>
      <c r="L766" s="5"/>
      <c r="M766" s="5"/>
      <c r="N766" s="5"/>
      <c r="O766" s="4"/>
      <c r="P766" s="5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2"/>
      <c r="B767" s="2"/>
      <c r="C767" s="14"/>
      <c r="D767" s="3"/>
      <c r="E767" s="1"/>
      <c r="F767" s="1"/>
      <c r="G767" s="1"/>
      <c r="H767" s="1"/>
      <c r="I767" s="4"/>
      <c r="J767" s="5"/>
      <c r="K767" s="5"/>
      <c r="L767" s="5"/>
      <c r="M767" s="5"/>
      <c r="N767" s="5"/>
      <c r="O767" s="4"/>
      <c r="P767" s="5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2"/>
      <c r="B768" s="2"/>
      <c r="C768" s="14"/>
      <c r="D768" s="3"/>
      <c r="E768" s="1"/>
      <c r="F768" s="1"/>
      <c r="G768" s="1"/>
      <c r="H768" s="1"/>
      <c r="I768" s="4"/>
      <c r="J768" s="5"/>
      <c r="K768" s="5"/>
      <c r="L768" s="5"/>
      <c r="M768" s="5"/>
      <c r="N768" s="5"/>
      <c r="O768" s="4"/>
      <c r="P768" s="5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2"/>
      <c r="B769" s="2"/>
      <c r="C769" s="14"/>
      <c r="D769" s="3"/>
      <c r="E769" s="1"/>
      <c r="F769" s="1"/>
      <c r="G769" s="1"/>
      <c r="H769" s="1"/>
      <c r="I769" s="4"/>
      <c r="J769" s="5"/>
      <c r="K769" s="5"/>
      <c r="L769" s="5"/>
      <c r="M769" s="5"/>
      <c r="N769" s="5"/>
      <c r="O769" s="4"/>
      <c r="P769" s="5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2"/>
      <c r="B770" s="2"/>
      <c r="C770" s="14"/>
      <c r="D770" s="3"/>
      <c r="E770" s="1"/>
      <c r="F770" s="1"/>
      <c r="G770" s="1"/>
      <c r="H770" s="1"/>
      <c r="I770" s="4"/>
      <c r="J770" s="5"/>
      <c r="K770" s="5"/>
      <c r="L770" s="5"/>
      <c r="M770" s="5"/>
      <c r="N770" s="5"/>
      <c r="O770" s="4"/>
      <c r="P770" s="5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2"/>
      <c r="B771" s="2"/>
      <c r="C771" s="14"/>
      <c r="D771" s="3"/>
      <c r="E771" s="1"/>
      <c r="F771" s="1"/>
      <c r="G771" s="1"/>
      <c r="H771" s="1"/>
      <c r="I771" s="4"/>
      <c r="J771" s="5"/>
      <c r="K771" s="5"/>
      <c r="L771" s="5"/>
      <c r="M771" s="5"/>
      <c r="N771" s="5"/>
      <c r="O771" s="4"/>
      <c r="P771" s="5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2"/>
      <c r="B772" s="2"/>
      <c r="C772" s="14"/>
      <c r="D772" s="3"/>
      <c r="E772" s="1"/>
      <c r="F772" s="1"/>
      <c r="G772" s="1"/>
      <c r="H772" s="1"/>
      <c r="I772" s="4"/>
      <c r="J772" s="5"/>
      <c r="K772" s="5"/>
      <c r="L772" s="5"/>
      <c r="M772" s="5"/>
      <c r="N772" s="5"/>
      <c r="O772" s="4"/>
      <c r="P772" s="5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2"/>
      <c r="B773" s="2"/>
      <c r="C773" s="14"/>
      <c r="D773" s="3"/>
      <c r="E773" s="1"/>
      <c r="F773" s="1"/>
      <c r="G773" s="1"/>
      <c r="H773" s="1"/>
      <c r="I773" s="4"/>
      <c r="J773" s="5"/>
      <c r="K773" s="5"/>
      <c r="L773" s="5"/>
      <c r="M773" s="5"/>
      <c r="N773" s="5"/>
      <c r="O773" s="4"/>
      <c r="P773" s="5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2"/>
      <c r="B774" s="2"/>
      <c r="C774" s="14"/>
      <c r="D774" s="3"/>
      <c r="E774" s="1"/>
      <c r="F774" s="1"/>
      <c r="G774" s="1"/>
      <c r="H774" s="1"/>
      <c r="I774" s="4"/>
      <c r="J774" s="5"/>
      <c r="K774" s="5"/>
      <c r="L774" s="5"/>
      <c r="M774" s="5"/>
      <c r="N774" s="5"/>
      <c r="O774" s="4"/>
      <c r="P774" s="5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2"/>
      <c r="B775" s="2"/>
      <c r="C775" s="14"/>
      <c r="D775" s="3"/>
      <c r="E775" s="1"/>
      <c r="F775" s="1"/>
      <c r="G775" s="1"/>
      <c r="H775" s="1"/>
      <c r="I775" s="4"/>
      <c r="J775" s="5"/>
      <c r="K775" s="5"/>
      <c r="L775" s="5"/>
      <c r="M775" s="5"/>
      <c r="N775" s="5"/>
      <c r="O775" s="4"/>
      <c r="P775" s="5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2"/>
      <c r="B776" s="2"/>
      <c r="C776" s="14"/>
      <c r="D776" s="3"/>
      <c r="E776" s="1"/>
      <c r="F776" s="1"/>
      <c r="G776" s="1"/>
      <c r="H776" s="1"/>
      <c r="I776" s="4"/>
      <c r="J776" s="5"/>
      <c r="K776" s="5"/>
      <c r="L776" s="5"/>
      <c r="M776" s="5"/>
      <c r="N776" s="5"/>
      <c r="O776" s="4"/>
      <c r="P776" s="5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2"/>
      <c r="B777" s="2"/>
      <c r="C777" s="14"/>
      <c r="D777" s="3"/>
      <c r="E777" s="1"/>
      <c r="F777" s="1"/>
      <c r="G777" s="1"/>
      <c r="H777" s="1"/>
      <c r="I777" s="4"/>
      <c r="J777" s="5"/>
      <c r="K777" s="5"/>
      <c r="L777" s="5"/>
      <c r="M777" s="5"/>
      <c r="N777" s="5"/>
      <c r="O777" s="4"/>
      <c r="P777" s="5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2"/>
      <c r="B778" s="2"/>
      <c r="C778" s="14"/>
      <c r="D778" s="3"/>
      <c r="E778" s="1"/>
      <c r="F778" s="1"/>
      <c r="G778" s="1"/>
      <c r="H778" s="1"/>
      <c r="I778" s="4"/>
      <c r="J778" s="5"/>
      <c r="K778" s="5"/>
      <c r="L778" s="5"/>
      <c r="M778" s="5"/>
      <c r="N778" s="5"/>
      <c r="O778" s="4"/>
      <c r="P778" s="5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2"/>
      <c r="B779" s="2"/>
      <c r="C779" s="14"/>
      <c r="D779" s="3"/>
      <c r="E779" s="1"/>
      <c r="F779" s="1"/>
      <c r="G779" s="1"/>
      <c r="H779" s="1"/>
      <c r="I779" s="4"/>
      <c r="J779" s="5"/>
      <c r="K779" s="5"/>
      <c r="L779" s="5"/>
      <c r="M779" s="5"/>
      <c r="N779" s="5"/>
      <c r="O779" s="4"/>
      <c r="P779" s="5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2"/>
      <c r="B780" s="2"/>
      <c r="C780" s="14"/>
      <c r="D780" s="3"/>
      <c r="E780" s="1"/>
      <c r="F780" s="1"/>
      <c r="G780" s="1"/>
      <c r="H780" s="1"/>
      <c r="I780" s="4"/>
      <c r="J780" s="5"/>
      <c r="K780" s="5"/>
      <c r="L780" s="5"/>
      <c r="M780" s="5"/>
      <c r="N780" s="5"/>
      <c r="O780" s="4"/>
      <c r="P780" s="5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2"/>
      <c r="B781" s="2"/>
      <c r="C781" s="14"/>
      <c r="D781" s="3"/>
      <c r="E781" s="1"/>
      <c r="F781" s="1"/>
      <c r="G781" s="1"/>
      <c r="H781" s="1"/>
      <c r="I781" s="4"/>
      <c r="J781" s="5"/>
      <c r="K781" s="5"/>
      <c r="L781" s="5"/>
      <c r="M781" s="5"/>
      <c r="N781" s="5"/>
      <c r="O781" s="4"/>
      <c r="P781" s="5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2"/>
      <c r="B782" s="2"/>
      <c r="C782" s="14"/>
      <c r="D782" s="3"/>
      <c r="E782" s="1"/>
      <c r="F782" s="1"/>
      <c r="G782" s="1"/>
      <c r="H782" s="1"/>
      <c r="I782" s="4"/>
      <c r="J782" s="5"/>
      <c r="K782" s="5"/>
      <c r="L782" s="5"/>
      <c r="M782" s="5"/>
      <c r="N782" s="5"/>
      <c r="O782" s="4"/>
      <c r="P782" s="5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2"/>
      <c r="B783" s="2"/>
      <c r="C783" s="14"/>
      <c r="D783" s="3"/>
      <c r="E783" s="1"/>
      <c r="F783" s="1"/>
      <c r="G783" s="1"/>
      <c r="H783" s="1"/>
      <c r="I783" s="4"/>
      <c r="J783" s="5"/>
      <c r="K783" s="5"/>
      <c r="L783" s="5"/>
      <c r="M783" s="5"/>
      <c r="N783" s="5"/>
      <c r="O783" s="4"/>
      <c r="P783" s="5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2"/>
      <c r="B784" s="2"/>
      <c r="C784" s="14"/>
      <c r="D784" s="3"/>
      <c r="E784" s="1"/>
      <c r="F784" s="1"/>
      <c r="G784" s="1"/>
      <c r="H784" s="1"/>
      <c r="I784" s="4"/>
      <c r="J784" s="5"/>
      <c r="K784" s="5"/>
      <c r="L784" s="5"/>
      <c r="M784" s="5"/>
      <c r="N784" s="5"/>
      <c r="O784" s="4"/>
      <c r="P784" s="5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2"/>
      <c r="B785" s="2"/>
      <c r="C785" s="14"/>
      <c r="D785" s="3"/>
      <c r="E785" s="1"/>
      <c r="F785" s="1"/>
      <c r="G785" s="1"/>
      <c r="H785" s="1"/>
      <c r="I785" s="4"/>
      <c r="J785" s="5"/>
      <c r="K785" s="5"/>
      <c r="L785" s="5"/>
      <c r="M785" s="5"/>
      <c r="N785" s="5"/>
      <c r="O785" s="4"/>
      <c r="P785" s="5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2"/>
      <c r="B786" s="2"/>
      <c r="C786" s="14"/>
      <c r="D786" s="3"/>
      <c r="E786" s="1"/>
      <c r="F786" s="1"/>
      <c r="G786" s="1"/>
      <c r="H786" s="1"/>
      <c r="I786" s="4"/>
      <c r="J786" s="5"/>
      <c r="K786" s="5"/>
      <c r="L786" s="5"/>
      <c r="M786" s="5"/>
      <c r="N786" s="5"/>
      <c r="O786" s="4"/>
      <c r="P786" s="5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2"/>
      <c r="B787" s="2"/>
      <c r="C787" s="14"/>
      <c r="D787" s="3"/>
      <c r="E787" s="1"/>
      <c r="F787" s="1"/>
      <c r="G787" s="1"/>
      <c r="H787" s="1"/>
      <c r="I787" s="4"/>
      <c r="J787" s="5"/>
      <c r="K787" s="5"/>
      <c r="L787" s="5"/>
      <c r="M787" s="5"/>
      <c r="N787" s="5"/>
      <c r="O787" s="4"/>
      <c r="P787" s="5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2"/>
      <c r="B788" s="2"/>
      <c r="C788" s="14"/>
      <c r="D788" s="3"/>
      <c r="E788" s="1"/>
      <c r="F788" s="1"/>
      <c r="G788" s="1"/>
      <c r="H788" s="1"/>
      <c r="I788" s="4"/>
      <c r="J788" s="5"/>
      <c r="K788" s="5"/>
      <c r="L788" s="5"/>
      <c r="M788" s="5"/>
      <c r="N788" s="5"/>
      <c r="O788" s="4"/>
      <c r="P788" s="5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2"/>
      <c r="B789" s="2"/>
      <c r="C789" s="14"/>
      <c r="D789" s="3"/>
      <c r="E789" s="1"/>
      <c r="F789" s="1"/>
      <c r="G789" s="1"/>
      <c r="H789" s="1"/>
      <c r="I789" s="4"/>
      <c r="J789" s="5"/>
      <c r="K789" s="5"/>
      <c r="L789" s="5"/>
      <c r="M789" s="5"/>
      <c r="N789" s="5"/>
      <c r="O789" s="4"/>
      <c r="P789" s="5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2"/>
      <c r="B790" s="2"/>
      <c r="C790" s="14"/>
      <c r="D790" s="3"/>
      <c r="E790" s="1"/>
      <c r="F790" s="1"/>
      <c r="G790" s="1"/>
      <c r="H790" s="1"/>
      <c r="I790" s="4"/>
      <c r="J790" s="5"/>
      <c r="K790" s="5"/>
      <c r="L790" s="5"/>
      <c r="M790" s="5"/>
      <c r="N790" s="5"/>
      <c r="O790" s="4"/>
      <c r="P790" s="5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2"/>
      <c r="B791" s="2"/>
      <c r="C791" s="14"/>
      <c r="D791" s="3"/>
      <c r="E791" s="1"/>
      <c r="F791" s="1"/>
      <c r="G791" s="1"/>
      <c r="H791" s="1"/>
      <c r="I791" s="4"/>
      <c r="J791" s="5"/>
      <c r="K791" s="5"/>
      <c r="L791" s="5"/>
      <c r="M791" s="5"/>
      <c r="N791" s="5"/>
      <c r="O791" s="4"/>
      <c r="P791" s="5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2"/>
      <c r="B792" s="2"/>
      <c r="C792" s="14"/>
      <c r="D792" s="3"/>
      <c r="E792" s="1"/>
      <c r="F792" s="1"/>
      <c r="G792" s="1"/>
      <c r="H792" s="1"/>
      <c r="I792" s="4"/>
      <c r="J792" s="5"/>
      <c r="K792" s="5"/>
      <c r="L792" s="5"/>
      <c r="M792" s="5"/>
      <c r="N792" s="5"/>
      <c r="O792" s="4"/>
      <c r="P792" s="5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2"/>
      <c r="B793" s="2"/>
      <c r="C793" s="14"/>
      <c r="D793" s="3"/>
      <c r="E793" s="1"/>
      <c r="F793" s="1"/>
      <c r="G793" s="1"/>
      <c r="H793" s="1"/>
      <c r="I793" s="4"/>
      <c r="J793" s="5"/>
      <c r="K793" s="5"/>
      <c r="L793" s="5"/>
      <c r="M793" s="5"/>
      <c r="N793" s="5"/>
      <c r="O793" s="4"/>
      <c r="P793" s="5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2"/>
      <c r="B794" s="2"/>
      <c r="C794" s="14"/>
      <c r="D794" s="3"/>
      <c r="E794" s="1"/>
      <c r="F794" s="1"/>
      <c r="G794" s="1"/>
      <c r="H794" s="1"/>
      <c r="I794" s="4"/>
      <c r="J794" s="5"/>
      <c r="K794" s="5"/>
      <c r="L794" s="5"/>
      <c r="M794" s="5"/>
      <c r="N794" s="5"/>
      <c r="O794" s="4"/>
      <c r="P794" s="5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2"/>
      <c r="B795" s="2"/>
      <c r="C795" s="14"/>
      <c r="D795" s="3"/>
      <c r="E795" s="1"/>
      <c r="F795" s="1"/>
      <c r="G795" s="1"/>
      <c r="H795" s="1"/>
      <c r="I795" s="4"/>
      <c r="J795" s="5"/>
      <c r="K795" s="5"/>
      <c r="L795" s="5"/>
      <c r="M795" s="5"/>
      <c r="N795" s="5"/>
      <c r="O795" s="4"/>
      <c r="P795" s="5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2"/>
      <c r="B796" s="2"/>
      <c r="C796" s="14"/>
      <c r="D796" s="3"/>
      <c r="E796" s="1"/>
      <c r="F796" s="1"/>
      <c r="G796" s="1"/>
      <c r="H796" s="1"/>
      <c r="I796" s="4"/>
      <c r="J796" s="5"/>
      <c r="K796" s="5"/>
      <c r="L796" s="5"/>
      <c r="M796" s="5"/>
      <c r="N796" s="5"/>
      <c r="O796" s="4"/>
      <c r="P796" s="5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2"/>
      <c r="B797" s="2"/>
      <c r="C797" s="14"/>
      <c r="D797" s="3"/>
      <c r="E797" s="1"/>
      <c r="F797" s="1"/>
      <c r="G797" s="1"/>
      <c r="H797" s="1"/>
      <c r="I797" s="4"/>
      <c r="J797" s="5"/>
      <c r="K797" s="5"/>
      <c r="L797" s="5"/>
      <c r="M797" s="5"/>
      <c r="N797" s="5"/>
      <c r="O797" s="4"/>
      <c r="P797" s="5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2"/>
      <c r="B798" s="2"/>
      <c r="C798" s="14"/>
      <c r="D798" s="3"/>
      <c r="E798" s="1"/>
      <c r="F798" s="1"/>
      <c r="G798" s="1"/>
      <c r="H798" s="1"/>
      <c r="I798" s="4"/>
      <c r="J798" s="5"/>
      <c r="K798" s="5"/>
      <c r="L798" s="5"/>
      <c r="M798" s="5"/>
      <c r="N798" s="5"/>
      <c r="O798" s="4"/>
      <c r="P798" s="5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2"/>
      <c r="B799" s="2"/>
      <c r="C799" s="14"/>
      <c r="D799" s="3"/>
      <c r="E799" s="1"/>
      <c r="F799" s="1"/>
      <c r="G799" s="1"/>
      <c r="H799" s="1"/>
      <c r="I799" s="4"/>
      <c r="J799" s="5"/>
      <c r="K799" s="5"/>
      <c r="L799" s="5"/>
      <c r="M799" s="5"/>
      <c r="N799" s="5"/>
      <c r="O799" s="4"/>
      <c r="P799" s="5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2"/>
      <c r="B800" s="2"/>
      <c r="C800" s="14"/>
      <c r="D800" s="3"/>
      <c r="E800" s="1"/>
      <c r="F800" s="1"/>
      <c r="G800" s="1"/>
      <c r="H800" s="1"/>
      <c r="I800" s="4"/>
      <c r="J800" s="5"/>
      <c r="K800" s="5"/>
      <c r="L800" s="5"/>
      <c r="M800" s="5"/>
      <c r="N800" s="5"/>
      <c r="O800" s="4"/>
      <c r="P800" s="5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2"/>
      <c r="B801" s="2"/>
      <c r="C801" s="14"/>
      <c r="D801" s="3"/>
      <c r="E801" s="1"/>
      <c r="F801" s="1"/>
      <c r="G801" s="1"/>
      <c r="H801" s="1"/>
      <c r="I801" s="4"/>
      <c r="J801" s="5"/>
      <c r="K801" s="5"/>
      <c r="L801" s="5"/>
      <c r="M801" s="5"/>
      <c r="N801" s="5"/>
      <c r="O801" s="4"/>
      <c r="P801" s="5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2"/>
      <c r="B802" s="2"/>
      <c r="C802" s="14"/>
      <c r="D802" s="3"/>
      <c r="E802" s="1"/>
      <c r="F802" s="1"/>
      <c r="G802" s="1"/>
      <c r="H802" s="1"/>
      <c r="I802" s="4"/>
      <c r="J802" s="5"/>
      <c r="K802" s="5"/>
      <c r="L802" s="5"/>
      <c r="M802" s="5"/>
      <c r="N802" s="5"/>
      <c r="O802" s="4"/>
      <c r="P802" s="5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2"/>
      <c r="B803" s="2"/>
      <c r="C803" s="14"/>
      <c r="D803" s="3"/>
      <c r="E803" s="1"/>
      <c r="F803" s="1"/>
      <c r="G803" s="1"/>
      <c r="H803" s="1"/>
      <c r="I803" s="4"/>
      <c r="J803" s="5"/>
      <c r="K803" s="5"/>
      <c r="L803" s="5"/>
      <c r="M803" s="5"/>
      <c r="N803" s="5"/>
      <c r="O803" s="4"/>
      <c r="P803" s="5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2"/>
      <c r="B804" s="2"/>
      <c r="C804" s="14"/>
      <c r="D804" s="3"/>
      <c r="E804" s="1"/>
      <c r="F804" s="1"/>
      <c r="G804" s="1"/>
      <c r="H804" s="1"/>
      <c r="I804" s="4"/>
      <c r="J804" s="5"/>
      <c r="K804" s="5"/>
      <c r="L804" s="5"/>
      <c r="M804" s="5"/>
      <c r="N804" s="5"/>
      <c r="O804" s="4"/>
      <c r="P804" s="5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2"/>
      <c r="B805" s="2"/>
      <c r="C805" s="14"/>
      <c r="D805" s="3"/>
      <c r="E805" s="1"/>
      <c r="F805" s="1"/>
      <c r="G805" s="1"/>
      <c r="H805" s="1"/>
      <c r="I805" s="4"/>
      <c r="J805" s="5"/>
      <c r="K805" s="5"/>
      <c r="L805" s="5"/>
      <c r="M805" s="5"/>
      <c r="N805" s="5"/>
      <c r="O805" s="4"/>
      <c r="P805" s="5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2"/>
      <c r="B806" s="2"/>
      <c r="C806" s="14"/>
      <c r="D806" s="3"/>
      <c r="E806" s="1"/>
      <c r="F806" s="1"/>
      <c r="G806" s="1"/>
      <c r="H806" s="1"/>
      <c r="I806" s="4"/>
      <c r="J806" s="5"/>
      <c r="K806" s="5"/>
      <c r="L806" s="5"/>
      <c r="M806" s="5"/>
      <c r="N806" s="5"/>
      <c r="O806" s="4"/>
      <c r="P806" s="5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2"/>
      <c r="B807" s="2"/>
      <c r="C807" s="14"/>
      <c r="D807" s="3"/>
      <c r="E807" s="1"/>
      <c r="F807" s="1"/>
      <c r="G807" s="1"/>
      <c r="H807" s="1"/>
      <c r="I807" s="4"/>
      <c r="J807" s="5"/>
      <c r="K807" s="5"/>
      <c r="L807" s="5"/>
      <c r="M807" s="5"/>
      <c r="N807" s="5"/>
      <c r="O807" s="4"/>
      <c r="P807" s="5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2"/>
      <c r="B808" s="2"/>
      <c r="C808" s="14"/>
      <c r="D808" s="3"/>
      <c r="E808" s="1"/>
      <c r="F808" s="1"/>
      <c r="G808" s="1"/>
      <c r="H808" s="1"/>
      <c r="I808" s="4"/>
      <c r="J808" s="5"/>
      <c r="K808" s="5"/>
      <c r="L808" s="5"/>
      <c r="M808" s="5"/>
      <c r="N808" s="5"/>
      <c r="O808" s="4"/>
      <c r="P808" s="5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2"/>
      <c r="B809" s="2"/>
      <c r="C809" s="14"/>
      <c r="D809" s="3"/>
      <c r="E809" s="1"/>
      <c r="F809" s="1"/>
      <c r="G809" s="1"/>
      <c r="H809" s="1"/>
      <c r="I809" s="4"/>
      <c r="J809" s="5"/>
      <c r="K809" s="5"/>
      <c r="L809" s="5"/>
      <c r="M809" s="5"/>
      <c r="N809" s="5"/>
      <c r="O809" s="4"/>
      <c r="P809" s="5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2"/>
      <c r="B810" s="2"/>
      <c r="C810" s="14"/>
      <c r="D810" s="3"/>
      <c r="E810" s="1"/>
      <c r="F810" s="1"/>
      <c r="G810" s="1"/>
      <c r="H810" s="1"/>
      <c r="I810" s="4"/>
      <c r="J810" s="5"/>
      <c r="K810" s="5"/>
      <c r="L810" s="5"/>
      <c r="M810" s="5"/>
      <c r="N810" s="5"/>
      <c r="O810" s="4"/>
      <c r="P810" s="5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2"/>
      <c r="B811" s="2"/>
      <c r="C811" s="14"/>
      <c r="D811" s="3"/>
      <c r="E811" s="1"/>
      <c r="F811" s="1"/>
      <c r="G811" s="1"/>
      <c r="H811" s="1"/>
      <c r="I811" s="4"/>
      <c r="J811" s="5"/>
      <c r="K811" s="5"/>
      <c r="L811" s="5"/>
      <c r="M811" s="5"/>
      <c r="N811" s="5"/>
      <c r="O811" s="4"/>
      <c r="P811" s="5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2"/>
      <c r="B812" s="2"/>
      <c r="C812" s="14"/>
      <c r="D812" s="3"/>
      <c r="E812" s="1"/>
      <c r="F812" s="1"/>
      <c r="G812" s="1"/>
      <c r="H812" s="1"/>
      <c r="I812" s="4"/>
      <c r="J812" s="5"/>
      <c r="K812" s="5"/>
      <c r="L812" s="5"/>
      <c r="M812" s="5"/>
      <c r="N812" s="5"/>
      <c r="O812" s="4"/>
      <c r="P812" s="5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2"/>
      <c r="B813" s="2"/>
      <c r="C813" s="14"/>
      <c r="D813" s="3"/>
      <c r="E813" s="1"/>
      <c r="F813" s="1"/>
      <c r="G813" s="1"/>
      <c r="H813" s="1"/>
      <c r="I813" s="4"/>
      <c r="J813" s="5"/>
      <c r="K813" s="5"/>
      <c r="L813" s="5"/>
      <c r="M813" s="5"/>
      <c r="N813" s="5"/>
      <c r="O813" s="4"/>
      <c r="P813" s="5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2"/>
      <c r="B814" s="2"/>
      <c r="C814" s="14"/>
      <c r="D814" s="3"/>
      <c r="E814" s="1"/>
      <c r="F814" s="1"/>
      <c r="G814" s="1"/>
      <c r="H814" s="1"/>
      <c r="I814" s="4"/>
      <c r="J814" s="5"/>
      <c r="K814" s="5"/>
      <c r="L814" s="5"/>
      <c r="M814" s="5"/>
      <c r="N814" s="5"/>
      <c r="O814" s="4"/>
      <c r="P814" s="5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2"/>
      <c r="B815" s="2"/>
      <c r="C815" s="14"/>
      <c r="D815" s="3"/>
      <c r="E815" s="1"/>
      <c r="F815" s="1"/>
      <c r="G815" s="1"/>
      <c r="H815" s="1"/>
      <c r="I815" s="4"/>
      <c r="J815" s="5"/>
      <c r="K815" s="5"/>
      <c r="L815" s="5"/>
      <c r="M815" s="5"/>
      <c r="N815" s="5"/>
      <c r="O815" s="4"/>
      <c r="P815" s="5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2"/>
      <c r="B816" s="2"/>
      <c r="C816" s="14"/>
      <c r="D816" s="3"/>
      <c r="E816" s="1"/>
      <c r="F816" s="1"/>
      <c r="G816" s="1"/>
      <c r="H816" s="1"/>
      <c r="I816" s="4"/>
      <c r="J816" s="5"/>
      <c r="K816" s="5"/>
      <c r="L816" s="5"/>
      <c r="M816" s="5"/>
      <c r="N816" s="5"/>
      <c r="O816" s="4"/>
      <c r="P816" s="5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2"/>
      <c r="B817" s="2"/>
      <c r="C817" s="14"/>
      <c r="D817" s="3"/>
      <c r="E817" s="1"/>
      <c r="F817" s="1"/>
      <c r="G817" s="1"/>
      <c r="H817" s="1"/>
      <c r="I817" s="4"/>
      <c r="J817" s="5"/>
      <c r="K817" s="5"/>
      <c r="L817" s="5"/>
      <c r="M817" s="5"/>
      <c r="N817" s="5"/>
      <c r="O817" s="4"/>
      <c r="P817" s="5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2"/>
      <c r="B818" s="2"/>
      <c r="C818" s="14"/>
      <c r="D818" s="3"/>
      <c r="E818" s="1"/>
      <c r="F818" s="1"/>
      <c r="G818" s="1"/>
      <c r="H818" s="1"/>
      <c r="I818" s="4"/>
      <c r="J818" s="5"/>
      <c r="K818" s="5"/>
      <c r="L818" s="5"/>
      <c r="M818" s="5"/>
      <c r="N818" s="5"/>
      <c r="O818" s="4"/>
      <c r="P818" s="5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2"/>
      <c r="B819" s="2"/>
      <c r="C819" s="14"/>
      <c r="D819" s="3"/>
      <c r="E819" s="1"/>
      <c r="F819" s="1"/>
      <c r="G819" s="1"/>
      <c r="H819" s="1"/>
      <c r="I819" s="4"/>
      <c r="J819" s="5"/>
      <c r="K819" s="5"/>
      <c r="L819" s="5"/>
      <c r="M819" s="5"/>
      <c r="N819" s="5"/>
      <c r="O819" s="4"/>
      <c r="P819" s="5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2"/>
      <c r="B820" s="2"/>
      <c r="C820" s="14"/>
      <c r="D820" s="3"/>
      <c r="E820" s="1"/>
      <c r="F820" s="1"/>
      <c r="G820" s="1"/>
      <c r="H820" s="1"/>
      <c r="I820" s="4"/>
      <c r="J820" s="5"/>
      <c r="K820" s="5"/>
      <c r="L820" s="5"/>
      <c r="M820" s="5"/>
      <c r="N820" s="5"/>
      <c r="O820" s="4"/>
      <c r="P820" s="5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2"/>
      <c r="B821" s="2"/>
      <c r="C821" s="14"/>
      <c r="D821" s="3"/>
      <c r="E821" s="1"/>
      <c r="F821" s="1"/>
      <c r="G821" s="1"/>
      <c r="H821" s="1"/>
      <c r="I821" s="4"/>
      <c r="J821" s="5"/>
      <c r="K821" s="5"/>
      <c r="L821" s="5"/>
      <c r="M821" s="5"/>
      <c r="N821" s="5"/>
      <c r="O821" s="4"/>
      <c r="P821" s="5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2"/>
      <c r="B822" s="2"/>
      <c r="C822" s="14"/>
      <c r="D822" s="3"/>
      <c r="E822" s="1"/>
      <c r="F822" s="1"/>
      <c r="G822" s="1"/>
      <c r="H822" s="1"/>
      <c r="I822" s="4"/>
      <c r="J822" s="5"/>
      <c r="K822" s="5"/>
      <c r="L822" s="5"/>
      <c r="M822" s="5"/>
      <c r="N822" s="5"/>
      <c r="O822" s="4"/>
      <c r="P822" s="5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2"/>
      <c r="B823" s="2"/>
      <c r="C823" s="14"/>
      <c r="D823" s="3"/>
      <c r="E823" s="1"/>
      <c r="F823" s="1"/>
      <c r="G823" s="1"/>
      <c r="H823" s="1"/>
      <c r="I823" s="4"/>
      <c r="J823" s="5"/>
      <c r="K823" s="5"/>
      <c r="L823" s="5"/>
      <c r="M823" s="5"/>
      <c r="N823" s="5"/>
      <c r="O823" s="4"/>
      <c r="P823" s="5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2"/>
      <c r="B824" s="2"/>
      <c r="C824" s="14"/>
      <c r="D824" s="3"/>
      <c r="E824" s="1"/>
      <c r="F824" s="1"/>
      <c r="G824" s="1"/>
      <c r="H824" s="1"/>
      <c r="I824" s="4"/>
      <c r="J824" s="5"/>
      <c r="K824" s="5"/>
      <c r="L824" s="5"/>
      <c r="M824" s="5"/>
      <c r="N824" s="5"/>
      <c r="O824" s="4"/>
      <c r="P824" s="5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2"/>
      <c r="B825" s="2"/>
      <c r="C825" s="14"/>
      <c r="D825" s="3"/>
      <c r="E825" s="1"/>
      <c r="F825" s="1"/>
      <c r="G825" s="1"/>
      <c r="H825" s="1"/>
      <c r="I825" s="4"/>
      <c r="J825" s="5"/>
      <c r="K825" s="5"/>
      <c r="L825" s="5"/>
      <c r="M825" s="5"/>
      <c r="N825" s="5"/>
      <c r="O825" s="4"/>
      <c r="P825" s="5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2"/>
      <c r="B826" s="2"/>
      <c r="C826" s="14"/>
      <c r="D826" s="3"/>
      <c r="E826" s="1"/>
      <c r="F826" s="1"/>
      <c r="G826" s="1"/>
      <c r="H826" s="1"/>
      <c r="I826" s="4"/>
      <c r="J826" s="5"/>
      <c r="K826" s="5"/>
      <c r="L826" s="5"/>
      <c r="M826" s="5"/>
      <c r="N826" s="5"/>
      <c r="O826" s="4"/>
      <c r="P826" s="5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2"/>
      <c r="B827" s="2"/>
      <c r="C827" s="14"/>
      <c r="D827" s="3"/>
      <c r="E827" s="1"/>
      <c r="F827" s="1"/>
      <c r="G827" s="1"/>
      <c r="H827" s="1"/>
      <c r="I827" s="4"/>
      <c r="J827" s="5"/>
      <c r="K827" s="5"/>
      <c r="L827" s="5"/>
      <c r="M827" s="5"/>
      <c r="N827" s="5"/>
      <c r="O827" s="4"/>
      <c r="P827" s="5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2"/>
      <c r="B828" s="2"/>
      <c r="C828" s="14"/>
      <c r="D828" s="3"/>
      <c r="E828" s="1"/>
      <c r="F828" s="1"/>
      <c r="G828" s="1"/>
      <c r="H828" s="1"/>
      <c r="I828" s="4"/>
      <c r="J828" s="5"/>
      <c r="K828" s="5"/>
      <c r="L828" s="5"/>
      <c r="M828" s="5"/>
      <c r="N828" s="5"/>
      <c r="O828" s="4"/>
      <c r="P828" s="5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2"/>
      <c r="B829" s="2"/>
      <c r="C829" s="14"/>
      <c r="D829" s="3"/>
      <c r="E829" s="1"/>
      <c r="F829" s="1"/>
      <c r="G829" s="1"/>
      <c r="H829" s="1"/>
      <c r="I829" s="4"/>
      <c r="J829" s="5"/>
      <c r="K829" s="5"/>
      <c r="L829" s="5"/>
      <c r="M829" s="5"/>
      <c r="N829" s="5"/>
      <c r="O829" s="4"/>
      <c r="P829" s="5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2"/>
      <c r="B830" s="2"/>
      <c r="C830" s="14"/>
      <c r="D830" s="3"/>
      <c r="E830" s="1"/>
      <c r="F830" s="1"/>
      <c r="G830" s="1"/>
      <c r="H830" s="1"/>
      <c r="I830" s="4"/>
      <c r="J830" s="5"/>
      <c r="K830" s="5"/>
      <c r="L830" s="5"/>
      <c r="M830" s="5"/>
      <c r="N830" s="5"/>
      <c r="O830" s="4"/>
      <c r="P830" s="5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2"/>
      <c r="B831" s="2"/>
      <c r="C831" s="14"/>
      <c r="D831" s="3"/>
      <c r="E831" s="1"/>
      <c r="F831" s="1"/>
      <c r="G831" s="1"/>
      <c r="H831" s="1"/>
      <c r="I831" s="4"/>
      <c r="J831" s="5"/>
      <c r="K831" s="5"/>
      <c r="L831" s="5"/>
      <c r="M831" s="5"/>
      <c r="N831" s="5"/>
      <c r="O831" s="4"/>
      <c r="P831" s="5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2"/>
      <c r="B832" s="2"/>
      <c r="C832" s="14"/>
      <c r="D832" s="3"/>
      <c r="E832" s="1"/>
      <c r="F832" s="1"/>
      <c r="G832" s="1"/>
      <c r="H832" s="1"/>
      <c r="I832" s="4"/>
      <c r="J832" s="5"/>
      <c r="K832" s="5"/>
      <c r="L832" s="5"/>
      <c r="M832" s="5"/>
      <c r="N832" s="5"/>
      <c r="O832" s="4"/>
      <c r="P832" s="5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2"/>
      <c r="B833" s="2"/>
      <c r="C833" s="14"/>
      <c r="D833" s="3"/>
      <c r="E833" s="1"/>
      <c r="F833" s="1"/>
      <c r="G833" s="1"/>
      <c r="H833" s="1"/>
      <c r="I833" s="4"/>
      <c r="J833" s="5"/>
      <c r="K833" s="5"/>
      <c r="L833" s="5"/>
      <c r="M833" s="5"/>
      <c r="N833" s="5"/>
      <c r="O833" s="4"/>
      <c r="P833" s="5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2"/>
      <c r="B834" s="2"/>
      <c r="C834" s="14"/>
      <c r="D834" s="3"/>
      <c r="E834" s="1"/>
      <c r="F834" s="1"/>
      <c r="G834" s="1"/>
      <c r="H834" s="1"/>
      <c r="I834" s="4"/>
      <c r="J834" s="5"/>
      <c r="K834" s="5"/>
      <c r="L834" s="5"/>
      <c r="M834" s="5"/>
      <c r="N834" s="5"/>
      <c r="O834" s="4"/>
      <c r="P834" s="5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2"/>
      <c r="B835" s="2"/>
      <c r="C835" s="14"/>
      <c r="D835" s="3"/>
      <c r="E835" s="1"/>
      <c r="F835" s="1"/>
      <c r="G835" s="1"/>
      <c r="H835" s="1"/>
      <c r="I835" s="4"/>
      <c r="J835" s="5"/>
      <c r="K835" s="5"/>
      <c r="L835" s="5"/>
      <c r="M835" s="5"/>
      <c r="N835" s="5"/>
      <c r="O835" s="4"/>
      <c r="P835" s="5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2"/>
      <c r="B836" s="2"/>
      <c r="C836" s="14"/>
      <c r="D836" s="3"/>
      <c r="E836" s="1"/>
      <c r="F836" s="1"/>
      <c r="G836" s="1"/>
      <c r="H836" s="1"/>
      <c r="I836" s="4"/>
      <c r="J836" s="5"/>
      <c r="K836" s="5"/>
      <c r="L836" s="5"/>
      <c r="M836" s="5"/>
      <c r="N836" s="5"/>
      <c r="O836" s="4"/>
      <c r="P836" s="5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2"/>
      <c r="B837" s="2"/>
      <c r="C837" s="14"/>
      <c r="D837" s="3"/>
      <c r="E837" s="1"/>
      <c r="F837" s="1"/>
      <c r="G837" s="1"/>
      <c r="H837" s="1"/>
      <c r="I837" s="4"/>
      <c r="J837" s="5"/>
      <c r="K837" s="5"/>
      <c r="L837" s="5"/>
      <c r="M837" s="5"/>
      <c r="N837" s="5"/>
      <c r="O837" s="4"/>
      <c r="P837" s="5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2"/>
      <c r="B838" s="2"/>
      <c r="C838" s="14"/>
      <c r="D838" s="3"/>
      <c r="E838" s="1"/>
      <c r="F838" s="1"/>
      <c r="G838" s="1"/>
      <c r="H838" s="1"/>
      <c r="I838" s="4"/>
      <c r="J838" s="5"/>
      <c r="K838" s="5"/>
      <c r="L838" s="5"/>
      <c r="M838" s="5"/>
      <c r="N838" s="5"/>
      <c r="O838" s="4"/>
      <c r="P838" s="5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2"/>
      <c r="B839" s="2"/>
      <c r="C839" s="14"/>
      <c r="D839" s="3"/>
      <c r="E839" s="1"/>
      <c r="F839" s="1"/>
      <c r="G839" s="1"/>
      <c r="H839" s="1"/>
      <c r="I839" s="4"/>
      <c r="J839" s="5"/>
      <c r="K839" s="5"/>
      <c r="L839" s="5"/>
      <c r="M839" s="5"/>
      <c r="N839" s="5"/>
      <c r="O839" s="4"/>
      <c r="P839" s="5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2"/>
      <c r="B840" s="2"/>
      <c r="C840" s="14"/>
      <c r="D840" s="3"/>
      <c r="E840" s="1"/>
      <c r="F840" s="1"/>
      <c r="G840" s="1"/>
      <c r="H840" s="1"/>
      <c r="I840" s="4"/>
      <c r="J840" s="5"/>
      <c r="K840" s="5"/>
      <c r="L840" s="5"/>
      <c r="M840" s="5"/>
      <c r="N840" s="5"/>
      <c r="O840" s="4"/>
      <c r="P840" s="5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2"/>
      <c r="B841" s="2"/>
      <c r="C841" s="14"/>
      <c r="D841" s="3"/>
      <c r="E841" s="1"/>
      <c r="F841" s="1"/>
      <c r="G841" s="1"/>
      <c r="H841" s="1"/>
      <c r="I841" s="4"/>
      <c r="J841" s="5"/>
      <c r="K841" s="5"/>
      <c r="L841" s="5"/>
      <c r="M841" s="5"/>
      <c r="N841" s="5"/>
      <c r="O841" s="4"/>
      <c r="P841" s="5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2"/>
      <c r="B842" s="2"/>
      <c r="C842" s="14"/>
      <c r="D842" s="3"/>
      <c r="E842" s="1"/>
      <c r="F842" s="1"/>
      <c r="G842" s="1"/>
      <c r="H842" s="1"/>
      <c r="I842" s="4"/>
      <c r="J842" s="5"/>
      <c r="K842" s="5"/>
      <c r="L842" s="5"/>
      <c r="M842" s="5"/>
      <c r="N842" s="5"/>
      <c r="O842" s="4"/>
      <c r="P842" s="5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2"/>
      <c r="B843" s="2"/>
      <c r="C843" s="14"/>
      <c r="D843" s="3"/>
      <c r="E843" s="1"/>
      <c r="F843" s="1"/>
      <c r="G843" s="1"/>
      <c r="H843" s="1"/>
      <c r="I843" s="4"/>
      <c r="J843" s="5"/>
      <c r="K843" s="5"/>
      <c r="L843" s="5"/>
      <c r="M843" s="5"/>
      <c r="N843" s="5"/>
      <c r="O843" s="4"/>
      <c r="P843" s="5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2"/>
      <c r="B844" s="2"/>
      <c r="C844" s="14"/>
      <c r="D844" s="3"/>
      <c r="E844" s="1"/>
      <c r="F844" s="1"/>
      <c r="G844" s="1"/>
      <c r="H844" s="1"/>
      <c r="I844" s="4"/>
      <c r="J844" s="5"/>
      <c r="K844" s="5"/>
      <c r="L844" s="5"/>
      <c r="M844" s="5"/>
      <c r="N844" s="5"/>
      <c r="O844" s="4"/>
      <c r="P844" s="5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2"/>
      <c r="B845" s="2"/>
      <c r="C845" s="14"/>
      <c r="D845" s="3"/>
      <c r="E845" s="1"/>
      <c r="F845" s="1"/>
      <c r="G845" s="1"/>
      <c r="H845" s="1"/>
      <c r="I845" s="4"/>
      <c r="J845" s="5"/>
      <c r="K845" s="5"/>
      <c r="L845" s="5"/>
      <c r="M845" s="5"/>
      <c r="N845" s="5"/>
      <c r="O845" s="4"/>
      <c r="P845" s="5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2"/>
      <c r="B846" s="2"/>
      <c r="C846" s="14"/>
      <c r="D846" s="3"/>
      <c r="E846" s="1"/>
      <c r="F846" s="1"/>
      <c r="G846" s="1"/>
      <c r="H846" s="1"/>
      <c r="I846" s="4"/>
      <c r="J846" s="5"/>
      <c r="K846" s="5"/>
      <c r="L846" s="5"/>
      <c r="M846" s="5"/>
      <c r="N846" s="5"/>
      <c r="O846" s="4"/>
      <c r="P846" s="5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2"/>
      <c r="B847" s="2"/>
      <c r="C847" s="14"/>
      <c r="D847" s="3"/>
      <c r="E847" s="1"/>
      <c r="F847" s="1"/>
      <c r="G847" s="1"/>
      <c r="H847" s="1"/>
      <c r="I847" s="4"/>
      <c r="J847" s="5"/>
      <c r="K847" s="5"/>
      <c r="L847" s="5"/>
      <c r="M847" s="5"/>
      <c r="N847" s="5"/>
      <c r="O847" s="4"/>
      <c r="P847" s="5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2"/>
      <c r="B848" s="2"/>
      <c r="C848" s="14"/>
      <c r="D848" s="3"/>
      <c r="E848" s="1"/>
      <c r="F848" s="1"/>
      <c r="G848" s="1"/>
      <c r="H848" s="1"/>
      <c r="I848" s="4"/>
      <c r="J848" s="5"/>
      <c r="K848" s="5"/>
      <c r="L848" s="5"/>
      <c r="M848" s="5"/>
      <c r="N848" s="5"/>
      <c r="O848" s="4"/>
      <c r="P848" s="5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2"/>
      <c r="B849" s="2"/>
      <c r="C849" s="14"/>
      <c r="D849" s="3"/>
      <c r="E849" s="1"/>
      <c r="F849" s="1"/>
      <c r="G849" s="1"/>
      <c r="H849" s="1"/>
      <c r="I849" s="4"/>
      <c r="J849" s="5"/>
      <c r="K849" s="5"/>
      <c r="L849" s="5"/>
      <c r="M849" s="5"/>
      <c r="N849" s="5"/>
      <c r="O849" s="4"/>
      <c r="P849" s="5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2"/>
      <c r="B850" s="2"/>
      <c r="C850" s="14"/>
      <c r="D850" s="3"/>
      <c r="E850" s="1"/>
      <c r="F850" s="1"/>
      <c r="G850" s="1"/>
      <c r="H850" s="1"/>
      <c r="I850" s="4"/>
      <c r="J850" s="5"/>
      <c r="K850" s="5"/>
      <c r="L850" s="5"/>
      <c r="M850" s="5"/>
      <c r="N850" s="5"/>
      <c r="O850" s="4"/>
      <c r="P850" s="5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2"/>
      <c r="B851" s="2"/>
      <c r="C851" s="14"/>
      <c r="D851" s="3"/>
      <c r="E851" s="1"/>
      <c r="F851" s="1"/>
      <c r="G851" s="1"/>
      <c r="H851" s="1"/>
      <c r="I851" s="4"/>
      <c r="J851" s="5"/>
      <c r="K851" s="5"/>
      <c r="L851" s="5"/>
      <c r="M851" s="5"/>
      <c r="N851" s="5"/>
      <c r="O851" s="4"/>
      <c r="P851" s="5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2"/>
      <c r="B852" s="2"/>
      <c r="C852" s="14"/>
      <c r="D852" s="3"/>
      <c r="E852" s="1"/>
      <c r="F852" s="1"/>
      <c r="G852" s="1"/>
      <c r="H852" s="1"/>
      <c r="I852" s="4"/>
      <c r="J852" s="5"/>
      <c r="K852" s="5"/>
      <c r="L852" s="5"/>
      <c r="M852" s="5"/>
      <c r="N852" s="5"/>
      <c r="O852" s="4"/>
      <c r="P852" s="5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2"/>
      <c r="B853" s="2"/>
      <c r="C853" s="14"/>
      <c r="D853" s="3"/>
      <c r="E853" s="1"/>
      <c r="F853" s="1"/>
      <c r="G853" s="1"/>
      <c r="H853" s="1"/>
      <c r="I853" s="4"/>
      <c r="J853" s="5"/>
      <c r="K853" s="5"/>
      <c r="L853" s="5"/>
      <c r="M853" s="5"/>
      <c r="N853" s="5"/>
      <c r="O853" s="4"/>
      <c r="P853" s="5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2"/>
      <c r="B854" s="2"/>
      <c r="C854" s="14"/>
      <c r="D854" s="3"/>
      <c r="E854" s="1"/>
      <c r="F854" s="1"/>
      <c r="G854" s="1"/>
      <c r="H854" s="1"/>
      <c r="I854" s="4"/>
      <c r="J854" s="5"/>
      <c r="K854" s="5"/>
      <c r="L854" s="5"/>
      <c r="M854" s="5"/>
      <c r="N854" s="5"/>
      <c r="O854" s="4"/>
      <c r="P854" s="5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2"/>
      <c r="B855" s="2"/>
      <c r="C855" s="14"/>
      <c r="D855" s="3"/>
      <c r="E855" s="1"/>
      <c r="F855" s="1"/>
      <c r="G855" s="1"/>
      <c r="H855" s="1"/>
      <c r="I855" s="4"/>
      <c r="J855" s="5"/>
      <c r="K855" s="5"/>
      <c r="L855" s="5"/>
      <c r="M855" s="5"/>
      <c r="N855" s="5"/>
      <c r="O855" s="4"/>
      <c r="P855" s="5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2"/>
      <c r="B856" s="2"/>
      <c r="C856" s="14"/>
      <c r="D856" s="3"/>
      <c r="E856" s="1"/>
      <c r="F856" s="1"/>
      <c r="G856" s="1"/>
      <c r="H856" s="1"/>
      <c r="I856" s="4"/>
      <c r="J856" s="5"/>
      <c r="K856" s="5"/>
      <c r="L856" s="5"/>
      <c r="M856" s="5"/>
      <c r="N856" s="5"/>
      <c r="O856" s="4"/>
      <c r="P856" s="5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2"/>
      <c r="B857" s="2"/>
      <c r="C857" s="14"/>
      <c r="D857" s="3"/>
      <c r="E857" s="1"/>
      <c r="F857" s="1"/>
      <c r="G857" s="1"/>
      <c r="H857" s="1"/>
      <c r="I857" s="4"/>
      <c r="J857" s="5"/>
      <c r="K857" s="5"/>
      <c r="L857" s="5"/>
      <c r="M857" s="5"/>
      <c r="N857" s="5"/>
      <c r="O857" s="4"/>
      <c r="P857" s="5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2"/>
      <c r="B858" s="2"/>
      <c r="C858" s="14"/>
      <c r="D858" s="3"/>
      <c r="E858" s="1"/>
      <c r="F858" s="1"/>
      <c r="G858" s="1"/>
      <c r="H858" s="1"/>
      <c r="I858" s="4"/>
      <c r="J858" s="5"/>
      <c r="K858" s="5"/>
      <c r="L858" s="5"/>
      <c r="M858" s="5"/>
      <c r="N858" s="5"/>
      <c r="O858" s="4"/>
      <c r="P858" s="5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2"/>
      <c r="B859" s="2"/>
      <c r="C859" s="14"/>
      <c r="D859" s="3"/>
      <c r="E859" s="1"/>
      <c r="F859" s="1"/>
      <c r="G859" s="1"/>
      <c r="H859" s="1"/>
      <c r="I859" s="4"/>
      <c r="J859" s="5"/>
      <c r="K859" s="5"/>
      <c r="L859" s="5"/>
      <c r="M859" s="5"/>
      <c r="N859" s="5"/>
      <c r="O859" s="4"/>
      <c r="P859" s="5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2"/>
      <c r="B860" s="2"/>
      <c r="C860" s="14"/>
      <c r="D860" s="3"/>
      <c r="E860" s="1"/>
      <c r="F860" s="1"/>
      <c r="G860" s="1"/>
      <c r="H860" s="1"/>
      <c r="I860" s="4"/>
      <c r="J860" s="5"/>
      <c r="K860" s="5"/>
      <c r="L860" s="5"/>
      <c r="M860" s="5"/>
      <c r="N860" s="5"/>
      <c r="O860" s="4"/>
      <c r="P860" s="5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2"/>
      <c r="B861" s="2"/>
      <c r="C861" s="14"/>
      <c r="D861" s="3"/>
      <c r="E861" s="1"/>
      <c r="F861" s="1"/>
      <c r="G861" s="1"/>
      <c r="H861" s="1"/>
      <c r="I861" s="4"/>
      <c r="J861" s="5"/>
      <c r="K861" s="5"/>
      <c r="L861" s="5"/>
      <c r="M861" s="5"/>
      <c r="N861" s="5"/>
      <c r="O861" s="4"/>
      <c r="P861" s="5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2"/>
      <c r="B862" s="2"/>
      <c r="C862" s="14"/>
      <c r="D862" s="3"/>
      <c r="E862" s="1"/>
      <c r="F862" s="1"/>
      <c r="G862" s="1"/>
      <c r="H862" s="1"/>
      <c r="I862" s="4"/>
      <c r="J862" s="5"/>
      <c r="K862" s="5"/>
      <c r="L862" s="5"/>
      <c r="M862" s="5"/>
      <c r="N862" s="5"/>
      <c r="O862" s="4"/>
      <c r="P862" s="5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2"/>
      <c r="B863" s="2"/>
      <c r="C863" s="14"/>
      <c r="D863" s="3"/>
      <c r="E863" s="1"/>
      <c r="F863" s="1"/>
      <c r="G863" s="1"/>
      <c r="H863" s="1"/>
      <c r="I863" s="4"/>
      <c r="J863" s="5"/>
      <c r="K863" s="5"/>
      <c r="L863" s="5"/>
      <c r="M863" s="5"/>
      <c r="N863" s="5"/>
      <c r="O863" s="4"/>
      <c r="P863" s="5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2"/>
      <c r="B864" s="2"/>
      <c r="C864" s="14"/>
      <c r="D864" s="3"/>
      <c r="E864" s="1"/>
      <c r="F864" s="1"/>
      <c r="G864" s="1"/>
      <c r="H864" s="1"/>
      <c r="I864" s="4"/>
      <c r="J864" s="5"/>
      <c r="K864" s="5"/>
      <c r="L864" s="5"/>
      <c r="M864" s="5"/>
      <c r="N864" s="5"/>
      <c r="O864" s="4"/>
      <c r="P864" s="5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2"/>
      <c r="B865" s="2"/>
      <c r="C865" s="14"/>
      <c r="D865" s="3"/>
      <c r="E865" s="1"/>
      <c r="F865" s="1"/>
      <c r="G865" s="1"/>
      <c r="H865" s="1"/>
      <c r="I865" s="4"/>
      <c r="J865" s="5"/>
      <c r="K865" s="5"/>
      <c r="L865" s="5"/>
      <c r="M865" s="5"/>
      <c r="N865" s="5"/>
      <c r="O865" s="4"/>
      <c r="P865" s="5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2"/>
      <c r="B866" s="2"/>
      <c r="C866" s="14"/>
      <c r="D866" s="3"/>
      <c r="E866" s="1"/>
      <c r="F866" s="1"/>
      <c r="G866" s="1"/>
      <c r="H866" s="1"/>
      <c r="I866" s="4"/>
      <c r="J866" s="5"/>
      <c r="K866" s="5"/>
      <c r="L866" s="5"/>
      <c r="M866" s="5"/>
      <c r="N866" s="5"/>
      <c r="O866" s="4"/>
      <c r="P866" s="5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2"/>
      <c r="B867" s="2"/>
      <c r="C867" s="14"/>
      <c r="D867" s="3"/>
      <c r="E867" s="1"/>
      <c r="F867" s="1"/>
      <c r="G867" s="1"/>
      <c r="H867" s="1"/>
      <c r="I867" s="4"/>
      <c r="J867" s="5"/>
      <c r="K867" s="5"/>
      <c r="L867" s="5"/>
      <c r="M867" s="5"/>
      <c r="N867" s="5"/>
      <c r="O867" s="4"/>
      <c r="P867" s="5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2"/>
      <c r="B868" s="2"/>
      <c r="C868" s="14"/>
      <c r="D868" s="3"/>
      <c r="E868" s="1"/>
      <c r="F868" s="1"/>
      <c r="G868" s="1"/>
      <c r="H868" s="1"/>
      <c r="I868" s="4"/>
      <c r="J868" s="5"/>
      <c r="K868" s="5"/>
      <c r="L868" s="5"/>
      <c r="M868" s="5"/>
      <c r="N868" s="5"/>
      <c r="O868" s="4"/>
      <c r="P868" s="5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2"/>
      <c r="B869" s="2"/>
      <c r="C869" s="14"/>
      <c r="D869" s="3"/>
      <c r="E869" s="1"/>
      <c r="F869" s="1"/>
      <c r="G869" s="1"/>
      <c r="H869" s="1"/>
      <c r="I869" s="4"/>
      <c r="J869" s="5"/>
      <c r="K869" s="5"/>
      <c r="L869" s="5"/>
      <c r="M869" s="5"/>
      <c r="N869" s="5"/>
      <c r="O869" s="4"/>
      <c r="P869" s="5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2"/>
      <c r="B870" s="2"/>
      <c r="C870" s="14"/>
      <c r="D870" s="3"/>
      <c r="E870" s="1"/>
      <c r="F870" s="1"/>
      <c r="G870" s="1"/>
      <c r="H870" s="1"/>
      <c r="I870" s="4"/>
      <c r="J870" s="5"/>
      <c r="K870" s="5"/>
      <c r="L870" s="5"/>
      <c r="M870" s="5"/>
      <c r="N870" s="5"/>
      <c r="O870" s="4"/>
      <c r="P870" s="5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2"/>
      <c r="B871" s="2"/>
      <c r="C871" s="14"/>
      <c r="D871" s="3"/>
      <c r="E871" s="1"/>
      <c r="F871" s="1"/>
      <c r="G871" s="1"/>
      <c r="H871" s="1"/>
      <c r="I871" s="4"/>
      <c r="J871" s="5"/>
      <c r="K871" s="5"/>
      <c r="L871" s="5"/>
      <c r="M871" s="5"/>
      <c r="N871" s="5"/>
      <c r="O871" s="4"/>
      <c r="P871" s="5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2"/>
      <c r="B872" s="2"/>
      <c r="C872" s="14"/>
      <c r="D872" s="3"/>
      <c r="E872" s="1"/>
      <c r="F872" s="1"/>
      <c r="G872" s="1"/>
      <c r="H872" s="1"/>
      <c r="I872" s="4"/>
      <c r="J872" s="5"/>
      <c r="K872" s="5"/>
      <c r="L872" s="5"/>
      <c r="M872" s="5"/>
      <c r="N872" s="5"/>
      <c r="O872" s="4"/>
      <c r="P872" s="5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2"/>
      <c r="B873" s="2"/>
      <c r="C873" s="14"/>
      <c r="D873" s="3"/>
      <c r="E873" s="1"/>
      <c r="F873" s="1"/>
      <c r="G873" s="1"/>
      <c r="H873" s="1"/>
      <c r="I873" s="4"/>
      <c r="J873" s="5"/>
      <c r="K873" s="5"/>
      <c r="L873" s="5"/>
      <c r="M873" s="5"/>
      <c r="N873" s="5"/>
      <c r="O873" s="4"/>
      <c r="P873" s="5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2"/>
      <c r="B874" s="2"/>
      <c r="C874" s="14"/>
      <c r="D874" s="3"/>
      <c r="E874" s="1"/>
      <c r="F874" s="1"/>
      <c r="G874" s="1"/>
      <c r="H874" s="1"/>
      <c r="I874" s="4"/>
      <c r="J874" s="5"/>
      <c r="K874" s="5"/>
      <c r="L874" s="5"/>
      <c r="M874" s="5"/>
      <c r="N874" s="5"/>
      <c r="O874" s="4"/>
      <c r="P874" s="5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2"/>
      <c r="B875" s="2"/>
      <c r="C875" s="14"/>
      <c r="D875" s="3"/>
      <c r="E875" s="1"/>
      <c r="F875" s="1"/>
      <c r="G875" s="1"/>
      <c r="H875" s="1"/>
      <c r="I875" s="4"/>
      <c r="J875" s="5"/>
      <c r="K875" s="5"/>
      <c r="L875" s="5"/>
      <c r="M875" s="5"/>
      <c r="N875" s="5"/>
      <c r="O875" s="4"/>
      <c r="P875" s="5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2"/>
      <c r="B876" s="2"/>
      <c r="C876" s="14"/>
      <c r="D876" s="3"/>
      <c r="E876" s="1"/>
      <c r="F876" s="1"/>
      <c r="G876" s="1"/>
      <c r="H876" s="1"/>
      <c r="I876" s="4"/>
      <c r="J876" s="5"/>
      <c r="K876" s="5"/>
      <c r="L876" s="5"/>
      <c r="M876" s="5"/>
      <c r="N876" s="5"/>
      <c r="O876" s="4"/>
      <c r="P876" s="5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2"/>
      <c r="B877" s="2"/>
      <c r="C877" s="14"/>
      <c r="D877" s="3"/>
      <c r="E877" s="1"/>
      <c r="F877" s="1"/>
      <c r="G877" s="1"/>
      <c r="H877" s="1"/>
      <c r="I877" s="4"/>
      <c r="J877" s="5"/>
      <c r="K877" s="5"/>
      <c r="L877" s="5"/>
      <c r="M877" s="5"/>
      <c r="N877" s="5"/>
      <c r="O877" s="4"/>
      <c r="P877" s="5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2"/>
      <c r="B878" s="2"/>
      <c r="C878" s="14"/>
      <c r="D878" s="3"/>
      <c r="E878" s="1"/>
      <c r="F878" s="1"/>
      <c r="G878" s="1"/>
      <c r="H878" s="1"/>
      <c r="I878" s="4"/>
      <c r="J878" s="5"/>
      <c r="K878" s="5"/>
      <c r="L878" s="5"/>
      <c r="M878" s="5"/>
      <c r="N878" s="5"/>
      <c r="O878" s="4"/>
      <c r="P878" s="5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2"/>
      <c r="B879" s="2"/>
      <c r="C879" s="14"/>
      <c r="D879" s="3"/>
      <c r="E879" s="1"/>
      <c r="F879" s="1"/>
      <c r="G879" s="1"/>
      <c r="H879" s="1"/>
      <c r="I879" s="4"/>
      <c r="J879" s="5"/>
      <c r="K879" s="5"/>
      <c r="L879" s="5"/>
      <c r="M879" s="5"/>
      <c r="N879" s="5"/>
      <c r="O879" s="4"/>
      <c r="P879" s="5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2"/>
      <c r="B880" s="2"/>
      <c r="C880" s="14"/>
      <c r="D880" s="3"/>
      <c r="E880" s="1"/>
      <c r="F880" s="1"/>
      <c r="G880" s="1"/>
      <c r="H880" s="1"/>
      <c r="I880" s="4"/>
      <c r="J880" s="5"/>
      <c r="K880" s="5"/>
      <c r="L880" s="5"/>
      <c r="M880" s="5"/>
      <c r="N880" s="5"/>
      <c r="O880" s="4"/>
      <c r="P880" s="5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2"/>
      <c r="B881" s="2"/>
      <c r="C881" s="14"/>
      <c r="D881" s="3"/>
      <c r="E881" s="1"/>
      <c r="F881" s="1"/>
      <c r="G881" s="1"/>
      <c r="H881" s="1"/>
      <c r="I881" s="4"/>
      <c r="J881" s="5"/>
      <c r="K881" s="5"/>
      <c r="L881" s="5"/>
      <c r="M881" s="5"/>
      <c r="N881" s="5"/>
      <c r="O881" s="4"/>
      <c r="P881" s="5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2"/>
      <c r="B882" s="2"/>
      <c r="C882" s="14"/>
      <c r="D882" s="3"/>
      <c r="E882" s="1"/>
      <c r="F882" s="1"/>
      <c r="G882" s="1"/>
      <c r="H882" s="1"/>
      <c r="I882" s="4"/>
      <c r="J882" s="5"/>
      <c r="K882" s="5"/>
      <c r="L882" s="5"/>
      <c r="M882" s="5"/>
      <c r="N882" s="5"/>
      <c r="O882" s="4"/>
      <c r="P882" s="5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2"/>
      <c r="B883" s="2"/>
      <c r="C883" s="14"/>
      <c r="D883" s="3"/>
      <c r="E883" s="1"/>
      <c r="F883" s="1"/>
      <c r="G883" s="1"/>
      <c r="H883" s="1"/>
      <c r="I883" s="4"/>
      <c r="J883" s="5"/>
      <c r="K883" s="5"/>
      <c r="L883" s="5"/>
      <c r="M883" s="5"/>
      <c r="N883" s="5"/>
      <c r="O883" s="4"/>
      <c r="P883" s="5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2"/>
      <c r="B884" s="2"/>
      <c r="C884" s="14"/>
      <c r="D884" s="3"/>
      <c r="E884" s="1"/>
      <c r="F884" s="1"/>
      <c r="G884" s="1"/>
      <c r="H884" s="1"/>
      <c r="I884" s="4"/>
      <c r="J884" s="5"/>
      <c r="K884" s="5"/>
      <c r="L884" s="5"/>
      <c r="M884" s="5"/>
      <c r="N884" s="5"/>
      <c r="O884" s="4"/>
      <c r="P884" s="5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2"/>
      <c r="B885" s="2"/>
      <c r="C885" s="14"/>
      <c r="D885" s="3"/>
      <c r="E885" s="1"/>
      <c r="F885" s="1"/>
      <c r="G885" s="1"/>
      <c r="H885" s="1"/>
      <c r="I885" s="4"/>
      <c r="J885" s="5"/>
      <c r="K885" s="5"/>
      <c r="L885" s="5"/>
      <c r="M885" s="5"/>
      <c r="N885" s="5"/>
      <c r="O885" s="4"/>
      <c r="P885" s="5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2"/>
      <c r="B886" s="2"/>
      <c r="C886" s="14"/>
      <c r="D886" s="3"/>
      <c r="E886" s="1"/>
      <c r="F886" s="1"/>
      <c r="G886" s="1"/>
      <c r="H886" s="1"/>
      <c r="I886" s="4"/>
      <c r="J886" s="5"/>
      <c r="K886" s="5"/>
      <c r="L886" s="5"/>
      <c r="M886" s="5"/>
      <c r="N886" s="5"/>
      <c r="O886" s="4"/>
      <c r="P886" s="5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2"/>
      <c r="B887" s="2"/>
      <c r="C887" s="14"/>
      <c r="D887" s="3"/>
      <c r="E887" s="1"/>
      <c r="F887" s="1"/>
      <c r="G887" s="1"/>
      <c r="H887" s="1"/>
      <c r="I887" s="4"/>
      <c r="J887" s="5"/>
      <c r="K887" s="5"/>
      <c r="L887" s="5"/>
      <c r="M887" s="5"/>
      <c r="N887" s="5"/>
      <c r="O887" s="4"/>
      <c r="P887" s="5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2"/>
      <c r="B888" s="2"/>
      <c r="C888" s="14"/>
      <c r="D888" s="3"/>
      <c r="E888" s="1"/>
      <c r="F888" s="1"/>
      <c r="G888" s="1"/>
      <c r="H888" s="1"/>
      <c r="I888" s="4"/>
      <c r="J888" s="5"/>
      <c r="K888" s="5"/>
      <c r="L888" s="5"/>
      <c r="M888" s="5"/>
      <c r="N888" s="5"/>
      <c r="O888" s="4"/>
      <c r="P888" s="5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2"/>
      <c r="B889" s="2"/>
      <c r="C889" s="14"/>
      <c r="D889" s="3"/>
      <c r="E889" s="1"/>
      <c r="F889" s="1"/>
      <c r="G889" s="1"/>
      <c r="H889" s="1"/>
      <c r="I889" s="4"/>
      <c r="J889" s="5"/>
      <c r="K889" s="5"/>
      <c r="L889" s="5"/>
      <c r="M889" s="5"/>
      <c r="N889" s="5"/>
      <c r="O889" s="4"/>
      <c r="P889" s="5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2"/>
      <c r="B890" s="2"/>
      <c r="C890" s="14"/>
      <c r="D890" s="3"/>
      <c r="E890" s="1"/>
      <c r="F890" s="1"/>
      <c r="G890" s="1"/>
      <c r="H890" s="1"/>
      <c r="I890" s="4"/>
      <c r="J890" s="5"/>
      <c r="K890" s="5"/>
      <c r="L890" s="5"/>
      <c r="M890" s="5"/>
      <c r="N890" s="5"/>
      <c r="O890" s="4"/>
      <c r="P890" s="5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2"/>
      <c r="B891" s="2"/>
      <c r="C891" s="14"/>
      <c r="D891" s="3"/>
      <c r="E891" s="1"/>
      <c r="F891" s="1"/>
      <c r="G891" s="1"/>
      <c r="H891" s="1"/>
      <c r="I891" s="4"/>
      <c r="J891" s="5"/>
      <c r="K891" s="5"/>
      <c r="L891" s="5"/>
      <c r="M891" s="5"/>
      <c r="N891" s="5"/>
      <c r="O891" s="4"/>
      <c r="P891" s="5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2"/>
      <c r="B892" s="2"/>
      <c r="C892" s="14"/>
      <c r="D892" s="3"/>
      <c r="E892" s="1"/>
      <c r="F892" s="1"/>
      <c r="G892" s="1"/>
      <c r="H892" s="1"/>
      <c r="I892" s="4"/>
      <c r="J892" s="5"/>
      <c r="K892" s="5"/>
      <c r="L892" s="5"/>
      <c r="M892" s="5"/>
      <c r="N892" s="5"/>
      <c r="O892" s="4"/>
      <c r="P892" s="5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2"/>
      <c r="B893" s="2"/>
      <c r="C893" s="14"/>
      <c r="D893" s="3"/>
      <c r="E893" s="1"/>
      <c r="F893" s="1"/>
      <c r="G893" s="1"/>
      <c r="H893" s="1"/>
      <c r="I893" s="4"/>
      <c r="J893" s="5"/>
      <c r="K893" s="5"/>
      <c r="L893" s="5"/>
      <c r="M893" s="5"/>
      <c r="N893" s="5"/>
      <c r="O893" s="4"/>
      <c r="P893" s="5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2"/>
      <c r="B894" s="2"/>
      <c r="C894" s="14"/>
      <c r="D894" s="3"/>
      <c r="E894" s="1"/>
      <c r="F894" s="1"/>
      <c r="G894" s="1"/>
      <c r="H894" s="1"/>
      <c r="I894" s="4"/>
      <c r="J894" s="5"/>
      <c r="K894" s="5"/>
      <c r="L894" s="5"/>
      <c r="M894" s="5"/>
      <c r="N894" s="5"/>
      <c r="O894" s="4"/>
      <c r="P894" s="5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2"/>
      <c r="B895" s="2"/>
      <c r="C895" s="14"/>
      <c r="D895" s="3"/>
      <c r="E895" s="1"/>
      <c r="F895" s="1"/>
      <c r="G895" s="1"/>
      <c r="H895" s="1"/>
      <c r="I895" s="4"/>
      <c r="J895" s="5"/>
      <c r="K895" s="5"/>
      <c r="L895" s="5"/>
      <c r="M895" s="5"/>
      <c r="N895" s="5"/>
      <c r="O895" s="4"/>
      <c r="P895" s="5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2"/>
      <c r="B896" s="2"/>
      <c r="C896" s="14"/>
      <c r="D896" s="3"/>
      <c r="E896" s="1"/>
      <c r="F896" s="1"/>
      <c r="G896" s="1"/>
      <c r="H896" s="1"/>
      <c r="I896" s="4"/>
      <c r="J896" s="5"/>
      <c r="K896" s="5"/>
      <c r="L896" s="5"/>
      <c r="M896" s="5"/>
      <c r="N896" s="5"/>
      <c r="O896" s="4"/>
      <c r="P896" s="5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2"/>
      <c r="B897" s="2"/>
      <c r="C897" s="14"/>
      <c r="D897" s="3"/>
      <c r="E897" s="1"/>
      <c r="F897" s="1"/>
      <c r="G897" s="1"/>
      <c r="H897" s="1"/>
      <c r="I897" s="4"/>
      <c r="J897" s="5"/>
      <c r="K897" s="5"/>
      <c r="L897" s="5"/>
      <c r="M897" s="5"/>
      <c r="N897" s="5"/>
      <c r="O897" s="4"/>
      <c r="P897" s="5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2"/>
      <c r="B898" s="2"/>
      <c r="C898" s="14"/>
      <c r="D898" s="3"/>
      <c r="E898" s="1"/>
      <c r="F898" s="1"/>
      <c r="G898" s="1"/>
      <c r="H898" s="1"/>
      <c r="I898" s="4"/>
      <c r="J898" s="5"/>
      <c r="K898" s="5"/>
      <c r="L898" s="5"/>
      <c r="M898" s="5"/>
      <c r="N898" s="5"/>
      <c r="O898" s="4"/>
      <c r="P898" s="5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2"/>
      <c r="B899" s="2"/>
      <c r="C899" s="14"/>
      <c r="D899" s="3"/>
      <c r="E899" s="1"/>
      <c r="F899" s="1"/>
      <c r="G899" s="1"/>
      <c r="H899" s="1"/>
      <c r="I899" s="4"/>
      <c r="J899" s="5"/>
      <c r="K899" s="5"/>
      <c r="L899" s="5"/>
      <c r="M899" s="5"/>
      <c r="N899" s="5"/>
      <c r="O899" s="4"/>
      <c r="P899" s="5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2"/>
      <c r="B900" s="2"/>
      <c r="C900" s="14"/>
      <c r="D900" s="3"/>
      <c r="E900" s="1"/>
      <c r="F900" s="1"/>
      <c r="G900" s="1"/>
      <c r="H900" s="1"/>
      <c r="I900" s="4"/>
      <c r="J900" s="5"/>
      <c r="K900" s="5"/>
      <c r="L900" s="5"/>
      <c r="M900" s="5"/>
      <c r="N900" s="5"/>
      <c r="O900" s="4"/>
      <c r="P900" s="5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2"/>
      <c r="B901" s="2"/>
      <c r="C901" s="14"/>
      <c r="D901" s="3"/>
      <c r="E901" s="1"/>
      <c r="F901" s="1"/>
      <c r="G901" s="1"/>
      <c r="H901" s="1"/>
      <c r="I901" s="4"/>
      <c r="J901" s="5"/>
      <c r="K901" s="5"/>
      <c r="L901" s="5"/>
      <c r="M901" s="5"/>
      <c r="N901" s="5"/>
      <c r="O901" s="4"/>
      <c r="P901" s="5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2"/>
      <c r="B902" s="2"/>
      <c r="C902" s="14"/>
      <c r="D902" s="3"/>
      <c r="E902" s="1"/>
      <c r="F902" s="1"/>
      <c r="G902" s="1"/>
      <c r="H902" s="1"/>
      <c r="I902" s="4"/>
      <c r="J902" s="5"/>
      <c r="K902" s="5"/>
      <c r="L902" s="5"/>
      <c r="M902" s="5"/>
      <c r="N902" s="5"/>
      <c r="O902" s="4"/>
      <c r="P902" s="5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2"/>
      <c r="B903" s="2"/>
      <c r="C903" s="14"/>
      <c r="D903" s="3"/>
      <c r="E903" s="1"/>
      <c r="F903" s="1"/>
      <c r="G903" s="1"/>
      <c r="H903" s="1"/>
      <c r="I903" s="4"/>
      <c r="J903" s="5"/>
      <c r="K903" s="5"/>
      <c r="L903" s="5"/>
      <c r="M903" s="5"/>
      <c r="N903" s="5"/>
      <c r="O903" s="4"/>
      <c r="P903" s="5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2"/>
      <c r="B904" s="2"/>
      <c r="C904" s="14"/>
      <c r="D904" s="3"/>
      <c r="E904" s="1"/>
      <c r="F904" s="1"/>
      <c r="G904" s="1"/>
      <c r="H904" s="1"/>
      <c r="I904" s="4"/>
      <c r="J904" s="5"/>
      <c r="K904" s="5"/>
      <c r="L904" s="5"/>
      <c r="M904" s="5"/>
      <c r="N904" s="5"/>
      <c r="O904" s="4"/>
      <c r="P904" s="5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2"/>
      <c r="B905" s="2"/>
      <c r="C905" s="14"/>
      <c r="D905" s="3"/>
      <c r="E905" s="1"/>
      <c r="F905" s="1"/>
      <c r="G905" s="1"/>
      <c r="H905" s="1"/>
      <c r="I905" s="4"/>
      <c r="J905" s="5"/>
      <c r="K905" s="5"/>
      <c r="L905" s="5"/>
      <c r="M905" s="5"/>
      <c r="N905" s="5"/>
      <c r="O905" s="4"/>
      <c r="P905" s="5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2"/>
      <c r="B906" s="2"/>
      <c r="C906" s="14"/>
      <c r="D906" s="3"/>
      <c r="E906" s="1"/>
      <c r="F906" s="1"/>
      <c r="G906" s="1"/>
      <c r="H906" s="1"/>
      <c r="I906" s="4"/>
      <c r="J906" s="5"/>
      <c r="K906" s="5"/>
      <c r="L906" s="5"/>
      <c r="M906" s="5"/>
      <c r="N906" s="5"/>
      <c r="O906" s="4"/>
      <c r="P906" s="5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2"/>
      <c r="B907" s="2"/>
      <c r="C907" s="14"/>
      <c r="D907" s="3"/>
      <c r="E907" s="1"/>
      <c r="F907" s="1"/>
      <c r="G907" s="1"/>
      <c r="H907" s="1"/>
      <c r="I907" s="4"/>
      <c r="J907" s="5"/>
      <c r="K907" s="5"/>
      <c r="L907" s="5"/>
      <c r="M907" s="5"/>
      <c r="N907" s="5"/>
      <c r="O907" s="4"/>
      <c r="P907" s="5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2"/>
      <c r="B908" s="2"/>
      <c r="C908" s="14"/>
      <c r="D908" s="3"/>
      <c r="E908" s="1"/>
      <c r="F908" s="1"/>
      <c r="G908" s="1"/>
      <c r="H908" s="1"/>
      <c r="I908" s="4"/>
      <c r="J908" s="5"/>
      <c r="K908" s="5"/>
      <c r="L908" s="5"/>
      <c r="M908" s="5"/>
      <c r="N908" s="5"/>
      <c r="O908" s="4"/>
      <c r="P908" s="5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2"/>
      <c r="B909" s="2"/>
      <c r="C909" s="14"/>
      <c r="D909" s="3"/>
      <c r="E909" s="1"/>
      <c r="F909" s="1"/>
      <c r="G909" s="1"/>
      <c r="H909" s="1"/>
      <c r="I909" s="4"/>
      <c r="J909" s="5"/>
      <c r="K909" s="5"/>
      <c r="L909" s="5"/>
      <c r="M909" s="5"/>
      <c r="N909" s="5"/>
      <c r="O909" s="4"/>
      <c r="P909" s="5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2"/>
      <c r="B910" s="2"/>
      <c r="C910" s="14"/>
      <c r="D910" s="3"/>
      <c r="E910" s="1"/>
      <c r="F910" s="1"/>
      <c r="G910" s="1"/>
      <c r="H910" s="1"/>
      <c r="I910" s="4"/>
      <c r="J910" s="5"/>
      <c r="K910" s="5"/>
      <c r="L910" s="5"/>
      <c r="M910" s="5"/>
      <c r="N910" s="5"/>
      <c r="O910" s="4"/>
      <c r="P910" s="5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2"/>
      <c r="B911" s="2"/>
      <c r="C911" s="14"/>
      <c r="D911" s="3"/>
      <c r="E911" s="1"/>
      <c r="F911" s="1"/>
      <c r="G911" s="1"/>
      <c r="H911" s="1"/>
      <c r="I911" s="4"/>
      <c r="J911" s="5"/>
      <c r="K911" s="5"/>
      <c r="L911" s="5"/>
      <c r="M911" s="5"/>
      <c r="N911" s="5"/>
      <c r="O911" s="4"/>
      <c r="P911" s="5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2"/>
      <c r="B912" s="2"/>
      <c r="C912" s="14"/>
      <c r="D912" s="3"/>
      <c r="E912" s="1"/>
      <c r="F912" s="1"/>
      <c r="G912" s="1"/>
      <c r="H912" s="1"/>
      <c r="I912" s="4"/>
      <c r="J912" s="5"/>
      <c r="K912" s="5"/>
      <c r="L912" s="5"/>
      <c r="M912" s="5"/>
      <c r="N912" s="5"/>
      <c r="O912" s="4"/>
      <c r="P912" s="5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2"/>
      <c r="B913" s="2"/>
      <c r="C913" s="14"/>
      <c r="D913" s="3"/>
      <c r="E913" s="1"/>
      <c r="F913" s="1"/>
      <c r="G913" s="1"/>
      <c r="H913" s="1"/>
      <c r="I913" s="4"/>
      <c r="J913" s="5"/>
      <c r="K913" s="5"/>
      <c r="L913" s="5"/>
      <c r="M913" s="5"/>
      <c r="N913" s="5"/>
      <c r="O913" s="4"/>
      <c r="P913" s="5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2"/>
      <c r="B914" s="2"/>
      <c r="C914" s="14"/>
      <c r="D914" s="3"/>
      <c r="E914" s="1"/>
      <c r="F914" s="1"/>
      <c r="G914" s="1"/>
      <c r="H914" s="1"/>
      <c r="I914" s="4"/>
      <c r="J914" s="5"/>
      <c r="K914" s="5"/>
      <c r="L914" s="5"/>
      <c r="M914" s="5"/>
      <c r="N914" s="5"/>
      <c r="O914" s="4"/>
      <c r="P914" s="5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2"/>
      <c r="B915" s="2"/>
      <c r="C915" s="14"/>
      <c r="D915" s="3"/>
      <c r="E915" s="1"/>
      <c r="F915" s="1"/>
      <c r="G915" s="1"/>
      <c r="H915" s="1"/>
      <c r="I915" s="4"/>
      <c r="J915" s="5"/>
      <c r="K915" s="5"/>
      <c r="L915" s="5"/>
      <c r="M915" s="5"/>
      <c r="N915" s="5"/>
      <c r="O915" s="4"/>
      <c r="P915" s="5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2"/>
      <c r="B916" s="2"/>
      <c r="C916" s="14"/>
      <c r="D916" s="3"/>
      <c r="E916" s="1"/>
      <c r="F916" s="1"/>
      <c r="G916" s="1"/>
      <c r="H916" s="1"/>
      <c r="I916" s="4"/>
      <c r="J916" s="5"/>
      <c r="K916" s="5"/>
      <c r="L916" s="5"/>
      <c r="M916" s="5"/>
      <c r="N916" s="5"/>
      <c r="O916" s="4"/>
      <c r="P916" s="5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2"/>
      <c r="B917" s="2"/>
      <c r="C917" s="14"/>
      <c r="D917" s="3"/>
      <c r="E917" s="1"/>
      <c r="F917" s="1"/>
      <c r="G917" s="1"/>
      <c r="H917" s="1"/>
      <c r="I917" s="4"/>
      <c r="J917" s="5"/>
      <c r="K917" s="5"/>
      <c r="L917" s="5"/>
      <c r="M917" s="5"/>
      <c r="N917" s="5"/>
      <c r="O917" s="4"/>
      <c r="P917" s="5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2"/>
      <c r="B918" s="2"/>
      <c r="C918" s="14"/>
      <c r="D918" s="3"/>
      <c r="E918" s="1"/>
      <c r="F918" s="1"/>
      <c r="G918" s="1"/>
      <c r="H918" s="1"/>
      <c r="I918" s="4"/>
      <c r="J918" s="5"/>
      <c r="K918" s="5"/>
      <c r="L918" s="5"/>
      <c r="M918" s="5"/>
      <c r="N918" s="5"/>
      <c r="O918" s="4"/>
      <c r="P918" s="5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2"/>
      <c r="B919" s="2"/>
      <c r="C919" s="14"/>
      <c r="D919" s="3"/>
      <c r="E919" s="1"/>
      <c r="F919" s="1"/>
      <c r="G919" s="1"/>
      <c r="H919" s="1"/>
      <c r="I919" s="4"/>
      <c r="J919" s="5"/>
      <c r="K919" s="5"/>
      <c r="L919" s="5"/>
      <c r="M919" s="5"/>
      <c r="N919" s="5"/>
      <c r="O919" s="4"/>
      <c r="P919" s="5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2"/>
      <c r="B920" s="2"/>
      <c r="C920" s="14"/>
      <c r="D920" s="3"/>
      <c r="E920" s="1"/>
      <c r="F920" s="1"/>
      <c r="G920" s="1"/>
      <c r="H920" s="1"/>
      <c r="I920" s="4"/>
      <c r="J920" s="5"/>
      <c r="K920" s="5"/>
      <c r="L920" s="5"/>
      <c r="M920" s="5"/>
      <c r="N920" s="5"/>
      <c r="O920" s="4"/>
      <c r="P920" s="5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2"/>
      <c r="B921" s="2"/>
      <c r="C921" s="14"/>
      <c r="D921" s="3"/>
      <c r="E921" s="1"/>
      <c r="F921" s="1"/>
      <c r="G921" s="1"/>
      <c r="H921" s="1"/>
      <c r="I921" s="4"/>
      <c r="J921" s="5"/>
      <c r="K921" s="5"/>
      <c r="L921" s="5"/>
      <c r="M921" s="5"/>
      <c r="N921" s="5"/>
      <c r="O921" s="4"/>
      <c r="P921" s="5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2"/>
      <c r="B922" s="2"/>
      <c r="C922" s="14"/>
      <c r="D922" s="3"/>
      <c r="E922" s="1"/>
      <c r="F922" s="1"/>
      <c r="G922" s="1"/>
      <c r="H922" s="1"/>
      <c r="I922" s="4"/>
      <c r="J922" s="5"/>
      <c r="K922" s="5"/>
      <c r="L922" s="5"/>
      <c r="M922" s="5"/>
      <c r="N922" s="5"/>
      <c r="O922" s="4"/>
      <c r="P922" s="5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2"/>
      <c r="B923" s="2"/>
      <c r="C923" s="14"/>
      <c r="D923" s="3"/>
      <c r="E923" s="1"/>
      <c r="F923" s="1"/>
      <c r="G923" s="1"/>
      <c r="H923" s="1"/>
      <c r="I923" s="4"/>
      <c r="J923" s="5"/>
      <c r="K923" s="5"/>
      <c r="L923" s="5"/>
      <c r="M923" s="5"/>
      <c r="N923" s="5"/>
      <c r="O923" s="4"/>
      <c r="P923" s="5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2"/>
      <c r="B924" s="2"/>
      <c r="C924" s="14"/>
      <c r="D924" s="3"/>
      <c r="E924" s="1"/>
      <c r="F924" s="1"/>
      <c r="G924" s="1"/>
      <c r="H924" s="1"/>
      <c r="I924" s="4"/>
      <c r="J924" s="5"/>
      <c r="K924" s="5"/>
      <c r="L924" s="5"/>
      <c r="M924" s="5"/>
      <c r="N924" s="5"/>
      <c r="O924" s="4"/>
      <c r="P924" s="5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2"/>
      <c r="B925" s="2"/>
      <c r="C925" s="14"/>
      <c r="D925" s="3"/>
      <c r="E925" s="1"/>
      <c r="F925" s="1"/>
      <c r="G925" s="1"/>
      <c r="H925" s="1"/>
      <c r="I925" s="4"/>
      <c r="J925" s="5"/>
      <c r="K925" s="5"/>
      <c r="L925" s="5"/>
      <c r="M925" s="5"/>
      <c r="N925" s="5"/>
      <c r="O925" s="4"/>
      <c r="P925" s="5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2"/>
      <c r="B926" s="2"/>
      <c r="C926" s="14"/>
      <c r="D926" s="3"/>
      <c r="E926" s="1"/>
      <c r="F926" s="1"/>
      <c r="G926" s="1"/>
      <c r="H926" s="1"/>
      <c r="I926" s="4"/>
      <c r="J926" s="5"/>
      <c r="K926" s="5"/>
      <c r="L926" s="5"/>
      <c r="M926" s="5"/>
      <c r="N926" s="5"/>
      <c r="O926" s="4"/>
      <c r="P926" s="5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2"/>
      <c r="B927" s="2"/>
      <c r="C927" s="14"/>
      <c r="D927" s="3"/>
      <c r="E927" s="1"/>
      <c r="F927" s="1"/>
      <c r="G927" s="1"/>
      <c r="H927" s="1"/>
      <c r="I927" s="4"/>
      <c r="J927" s="5"/>
      <c r="K927" s="5"/>
      <c r="L927" s="5"/>
      <c r="M927" s="5"/>
      <c r="N927" s="5"/>
      <c r="O927" s="4"/>
      <c r="P927" s="5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2"/>
      <c r="B928" s="2"/>
      <c r="C928" s="14"/>
      <c r="D928" s="3"/>
      <c r="E928" s="1"/>
      <c r="F928" s="1"/>
      <c r="G928" s="1"/>
      <c r="H928" s="1"/>
      <c r="I928" s="4"/>
      <c r="J928" s="5"/>
      <c r="K928" s="5"/>
      <c r="L928" s="5"/>
      <c r="M928" s="5"/>
      <c r="N928" s="5"/>
      <c r="O928" s="4"/>
      <c r="P928" s="5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2"/>
      <c r="B929" s="2"/>
      <c r="C929" s="14"/>
      <c r="D929" s="3"/>
      <c r="E929" s="1"/>
      <c r="F929" s="1"/>
      <c r="G929" s="1"/>
      <c r="H929" s="1"/>
      <c r="I929" s="4"/>
      <c r="J929" s="5"/>
      <c r="K929" s="5"/>
      <c r="L929" s="5"/>
      <c r="M929" s="5"/>
      <c r="N929" s="5"/>
      <c r="O929" s="4"/>
      <c r="P929" s="5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2"/>
      <c r="B930" s="2"/>
      <c r="C930" s="14"/>
      <c r="D930" s="3"/>
      <c r="E930" s="1"/>
      <c r="F930" s="1"/>
      <c r="G930" s="1"/>
      <c r="H930" s="1"/>
      <c r="I930" s="4"/>
      <c r="J930" s="5"/>
      <c r="K930" s="5"/>
      <c r="L930" s="5"/>
      <c r="M930" s="5"/>
      <c r="N930" s="5"/>
      <c r="O930" s="4"/>
      <c r="P930" s="5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2"/>
      <c r="B931" s="2"/>
      <c r="C931" s="14"/>
      <c r="D931" s="3"/>
      <c r="E931" s="1"/>
      <c r="F931" s="1"/>
      <c r="G931" s="1"/>
      <c r="H931" s="1"/>
      <c r="I931" s="4"/>
      <c r="J931" s="5"/>
      <c r="K931" s="5"/>
      <c r="L931" s="5"/>
      <c r="M931" s="5"/>
      <c r="N931" s="5"/>
      <c r="O931" s="4"/>
      <c r="P931" s="5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2"/>
      <c r="B932" s="2"/>
      <c r="C932" s="14"/>
      <c r="D932" s="3"/>
      <c r="E932" s="1"/>
      <c r="F932" s="1"/>
      <c r="G932" s="1"/>
      <c r="H932" s="1"/>
      <c r="I932" s="4"/>
      <c r="J932" s="5"/>
      <c r="K932" s="5"/>
      <c r="L932" s="5"/>
      <c r="M932" s="5"/>
      <c r="N932" s="5"/>
      <c r="O932" s="4"/>
      <c r="P932" s="5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2"/>
      <c r="B933" s="2"/>
      <c r="C933" s="14"/>
      <c r="D933" s="3"/>
      <c r="E933" s="1"/>
      <c r="F933" s="1"/>
      <c r="G933" s="1"/>
      <c r="H933" s="1"/>
      <c r="I933" s="4"/>
      <c r="J933" s="5"/>
      <c r="K933" s="5"/>
      <c r="L933" s="5"/>
      <c r="M933" s="5"/>
      <c r="N933" s="5"/>
      <c r="O933" s="4"/>
      <c r="P933" s="5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2"/>
      <c r="B934" s="2"/>
      <c r="C934" s="14"/>
      <c r="D934" s="3"/>
      <c r="E934" s="1"/>
      <c r="F934" s="1"/>
      <c r="G934" s="1"/>
      <c r="H934" s="1"/>
      <c r="I934" s="4"/>
      <c r="J934" s="5"/>
      <c r="K934" s="5"/>
      <c r="L934" s="5"/>
      <c r="M934" s="5"/>
      <c r="N934" s="5"/>
      <c r="O934" s="4"/>
      <c r="P934" s="5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2"/>
      <c r="B935" s="2"/>
      <c r="C935" s="14"/>
      <c r="D935" s="3"/>
      <c r="E935" s="1"/>
      <c r="F935" s="1"/>
      <c r="G935" s="1"/>
      <c r="H935" s="1"/>
      <c r="I935" s="4"/>
      <c r="J935" s="5"/>
      <c r="K935" s="5"/>
      <c r="L935" s="5"/>
      <c r="M935" s="5"/>
      <c r="N935" s="5"/>
      <c r="O935" s="4"/>
      <c r="P935" s="5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2"/>
      <c r="B936" s="2"/>
      <c r="C936" s="14"/>
      <c r="D936" s="3"/>
      <c r="E936" s="1"/>
      <c r="F936" s="1"/>
      <c r="G936" s="1"/>
      <c r="H936" s="1"/>
      <c r="I936" s="4"/>
      <c r="J936" s="5"/>
      <c r="K936" s="5"/>
      <c r="L936" s="5"/>
      <c r="M936" s="5"/>
      <c r="N936" s="5"/>
      <c r="O936" s="4"/>
      <c r="P936" s="5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2"/>
      <c r="B937" s="2"/>
      <c r="C937" s="14"/>
      <c r="D937" s="3"/>
      <c r="E937" s="1"/>
      <c r="F937" s="1"/>
      <c r="G937" s="1"/>
      <c r="H937" s="1"/>
      <c r="I937" s="4"/>
      <c r="J937" s="5"/>
      <c r="K937" s="5"/>
      <c r="L937" s="5"/>
      <c r="M937" s="5"/>
      <c r="N937" s="5"/>
      <c r="O937" s="4"/>
      <c r="P937" s="5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2"/>
      <c r="B938" s="2"/>
      <c r="C938" s="14"/>
      <c r="D938" s="3"/>
      <c r="E938" s="1"/>
      <c r="F938" s="1"/>
      <c r="G938" s="1"/>
      <c r="H938" s="1"/>
      <c r="I938" s="4"/>
      <c r="J938" s="5"/>
      <c r="K938" s="5"/>
      <c r="L938" s="5"/>
      <c r="M938" s="5"/>
      <c r="N938" s="5"/>
      <c r="O938" s="4"/>
      <c r="P938" s="5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2"/>
      <c r="B939" s="2"/>
      <c r="C939" s="14"/>
      <c r="D939" s="3"/>
      <c r="E939" s="1"/>
      <c r="F939" s="1"/>
      <c r="G939" s="1"/>
      <c r="H939" s="1"/>
      <c r="I939" s="4"/>
      <c r="J939" s="5"/>
      <c r="K939" s="5"/>
      <c r="L939" s="5"/>
      <c r="M939" s="5"/>
      <c r="N939" s="5"/>
      <c r="O939" s="4"/>
      <c r="P939" s="5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2"/>
      <c r="B940" s="2"/>
      <c r="C940" s="14"/>
      <c r="D940" s="3"/>
      <c r="E940" s="1"/>
      <c r="F940" s="1"/>
      <c r="G940" s="1"/>
      <c r="H940" s="1"/>
      <c r="I940" s="4"/>
      <c r="J940" s="5"/>
      <c r="K940" s="5"/>
      <c r="L940" s="5"/>
      <c r="M940" s="5"/>
      <c r="N940" s="5"/>
      <c r="O940" s="4"/>
      <c r="P940" s="5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2"/>
      <c r="B941" s="2"/>
      <c r="C941" s="14"/>
      <c r="D941" s="3"/>
      <c r="E941" s="1"/>
      <c r="F941" s="1"/>
      <c r="G941" s="1"/>
      <c r="H941" s="1"/>
      <c r="I941" s="4"/>
      <c r="J941" s="5"/>
      <c r="K941" s="5"/>
      <c r="L941" s="5"/>
      <c r="M941" s="5"/>
      <c r="N941" s="5"/>
      <c r="O941" s="4"/>
      <c r="P941" s="5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2"/>
      <c r="B942" s="2"/>
      <c r="C942" s="14"/>
      <c r="D942" s="3"/>
      <c r="E942" s="1"/>
      <c r="F942" s="1"/>
      <c r="G942" s="1"/>
      <c r="H942" s="1"/>
      <c r="I942" s="4"/>
      <c r="J942" s="5"/>
      <c r="K942" s="5"/>
      <c r="L942" s="5"/>
      <c r="M942" s="5"/>
      <c r="N942" s="5"/>
      <c r="O942" s="4"/>
      <c r="P942" s="5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2"/>
      <c r="B943" s="2"/>
      <c r="C943" s="14"/>
      <c r="D943" s="3"/>
      <c r="E943" s="1"/>
      <c r="F943" s="1"/>
      <c r="G943" s="1"/>
      <c r="H943" s="1"/>
      <c r="I943" s="4"/>
      <c r="J943" s="5"/>
      <c r="K943" s="5"/>
      <c r="L943" s="5"/>
      <c r="M943" s="5"/>
      <c r="N943" s="5"/>
      <c r="O943" s="4"/>
      <c r="P943" s="5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2"/>
      <c r="B944" s="2"/>
      <c r="C944" s="14"/>
      <c r="D944" s="3"/>
      <c r="E944" s="1"/>
      <c r="F944" s="1"/>
      <c r="G944" s="1"/>
      <c r="H944" s="1"/>
      <c r="I944" s="4"/>
      <c r="J944" s="5"/>
      <c r="K944" s="5"/>
      <c r="L944" s="5"/>
      <c r="M944" s="5"/>
      <c r="N944" s="5"/>
      <c r="O944" s="4"/>
      <c r="P944" s="5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2"/>
      <c r="B945" s="2"/>
      <c r="C945" s="14"/>
      <c r="D945" s="3"/>
      <c r="E945" s="1"/>
      <c r="F945" s="1"/>
      <c r="G945" s="1"/>
      <c r="H945" s="1"/>
      <c r="I945" s="4"/>
      <c r="J945" s="5"/>
      <c r="K945" s="5"/>
      <c r="L945" s="5"/>
      <c r="M945" s="5"/>
      <c r="N945" s="5"/>
      <c r="O945" s="4"/>
      <c r="P945" s="5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2"/>
      <c r="B946" s="2"/>
      <c r="C946" s="14"/>
      <c r="D946" s="3"/>
      <c r="E946" s="1"/>
      <c r="F946" s="1"/>
      <c r="G946" s="1"/>
      <c r="H946" s="1"/>
      <c r="I946" s="4"/>
      <c r="J946" s="5"/>
      <c r="K946" s="5"/>
      <c r="L946" s="5"/>
      <c r="M946" s="5"/>
      <c r="N946" s="5"/>
      <c r="O946" s="4"/>
      <c r="P946" s="5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2"/>
      <c r="B947" s="2"/>
      <c r="C947" s="14"/>
      <c r="D947" s="3"/>
      <c r="E947" s="1"/>
      <c r="F947" s="1"/>
      <c r="G947" s="1"/>
      <c r="H947" s="1"/>
      <c r="I947" s="4"/>
      <c r="J947" s="5"/>
      <c r="K947" s="5"/>
      <c r="L947" s="5"/>
      <c r="M947" s="5"/>
      <c r="N947" s="5"/>
      <c r="O947" s="4"/>
      <c r="P947" s="5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2"/>
      <c r="B948" s="2"/>
      <c r="C948" s="14"/>
      <c r="D948" s="3"/>
      <c r="E948" s="1"/>
      <c r="F948" s="1"/>
      <c r="G948" s="1"/>
      <c r="H948" s="1"/>
      <c r="I948" s="4"/>
      <c r="J948" s="5"/>
      <c r="K948" s="5"/>
      <c r="L948" s="5"/>
      <c r="M948" s="5"/>
      <c r="N948" s="5"/>
      <c r="O948" s="4"/>
      <c r="P948" s="5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2"/>
      <c r="B949" s="2"/>
      <c r="C949" s="14"/>
      <c r="D949" s="3"/>
      <c r="E949" s="1"/>
      <c r="F949" s="1"/>
      <c r="G949" s="1"/>
      <c r="H949" s="1"/>
      <c r="I949" s="4"/>
      <c r="J949" s="5"/>
      <c r="K949" s="5"/>
      <c r="L949" s="5"/>
      <c r="M949" s="5"/>
      <c r="N949" s="5"/>
      <c r="O949" s="4"/>
      <c r="P949" s="5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2"/>
      <c r="B950" s="2"/>
      <c r="C950" s="14"/>
      <c r="D950" s="3"/>
      <c r="E950" s="1"/>
      <c r="F950" s="1"/>
      <c r="G950" s="1"/>
      <c r="H950" s="1"/>
      <c r="I950" s="4"/>
      <c r="J950" s="5"/>
      <c r="K950" s="5"/>
      <c r="L950" s="5"/>
      <c r="M950" s="5"/>
      <c r="N950" s="5"/>
      <c r="O950" s="4"/>
      <c r="P950" s="5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2"/>
      <c r="B951" s="2"/>
      <c r="C951" s="14"/>
      <c r="D951" s="3"/>
      <c r="E951" s="1"/>
      <c r="F951" s="1"/>
      <c r="G951" s="1"/>
      <c r="H951" s="1"/>
      <c r="I951" s="4"/>
      <c r="J951" s="5"/>
      <c r="K951" s="5"/>
      <c r="L951" s="5"/>
      <c r="M951" s="5"/>
      <c r="N951" s="5"/>
      <c r="O951" s="4"/>
      <c r="P951" s="5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2"/>
      <c r="B952" s="2"/>
      <c r="C952" s="14"/>
      <c r="D952" s="3"/>
      <c r="E952" s="1"/>
      <c r="F952" s="1"/>
      <c r="G952" s="1"/>
      <c r="H952" s="1"/>
      <c r="I952" s="4"/>
      <c r="J952" s="5"/>
      <c r="K952" s="5"/>
      <c r="L952" s="5"/>
      <c r="M952" s="5"/>
      <c r="N952" s="5"/>
      <c r="O952" s="4"/>
      <c r="P952" s="5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2"/>
      <c r="B953" s="2"/>
      <c r="C953" s="14"/>
      <c r="D953" s="3"/>
      <c r="E953" s="1"/>
      <c r="F953" s="1"/>
      <c r="G953" s="1"/>
      <c r="H953" s="1"/>
      <c r="I953" s="4"/>
      <c r="J953" s="5"/>
      <c r="K953" s="5"/>
      <c r="L953" s="5"/>
      <c r="M953" s="5"/>
      <c r="N953" s="5"/>
      <c r="O953" s="4"/>
      <c r="P953" s="5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2"/>
      <c r="B954" s="2"/>
      <c r="C954" s="14"/>
      <c r="D954" s="3"/>
      <c r="E954" s="1"/>
      <c r="F954" s="1"/>
      <c r="G954" s="1"/>
      <c r="H954" s="1"/>
      <c r="I954" s="4"/>
      <c r="J954" s="5"/>
      <c r="K954" s="5"/>
      <c r="L954" s="5"/>
      <c r="M954" s="5"/>
      <c r="N954" s="5"/>
      <c r="O954" s="4"/>
      <c r="P954" s="5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2"/>
      <c r="B955" s="2"/>
      <c r="C955" s="14"/>
      <c r="D955" s="3"/>
      <c r="E955" s="1"/>
      <c r="F955" s="1"/>
      <c r="G955" s="1"/>
      <c r="H955" s="1"/>
      <c r="I955" s="4"/>
      <c r="J955" s="5"/>
      <c r="K955" s="5"/>
      <c r="L955" s="5"/>
      <c r="M955" s="5"/>
      <c r="N955" s="5"/>
      <c r="O955" s="4"/>
      <c r="P955" s="5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2"/>
      <c r="B956" s="2"/>
      <c r="C956" s="14"/>
      <c r="D956" s="3"/>
      <c r="E956" s="1"/>
      <c r="F956" s="1"/>
      <c r="G956" s="1"/>
      <c r="H956" s="1"/>
      <c r="I956" s="4"/>
      <c r="J956" s="5"/>
      <c r="K956" s="5"/>
      <c r="L956" s="5"/>
      <c r="M956" s="5"/>
      <c r="N956" s="5"/>
      <c r="O956" s="4"/>
      <c r="P956" s="5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2"/>
      <c r="B957" s="2"/>
      <c r="C957" s="14"/>
      <c r="D957" s="3"/>
      <c r="E957" s="1"/>
      <c r="F957" s="1"/>
      <c r="G957" s="1"/>
      <c r="H957" s="1"/>
      <c r="I957" s="4"/>
      <c r="J957" s="5"/>
      <c r="K957" s="5"/>
      <c r="L957" s="5"/>
      <c r="M957" s="5"/>
      <c r="N957" s="5"/>
      <c r="O957" s="4"/>
      <c r="P957" s="5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2"/>
      <c r="B958" s="2"/>
      <c r="C958" s="14"/>
      <c r="D958" s="3"/>
      <c r="E958" s="1"/>
      <c r="F958" s="1"/>
      <c r="G958" s="1"/>
      <c r="H958" s="1"/>
      <c r="I958" s="4"/>
      <c r="J958" s="5"/>
      <c r="K958" s="5"/>
      <c r="L958" s="5"/>
      <c r="M958" s="5"/>
      <c r="N958" s="5"/>
      <c r="O958" s="4"/>
      <c r="P958" s="5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2"/>
      <c r="B959" s="2"/>
      <c r="C959" s="14"/>
      <c r="D959" s="3"/>
      <c r="E959" s="1"/>
      <c r="F959" s="1"/>
      <c r="G959" s="1"/>
      <c r="H959" s="1"/>
      <c r="I959" s="4"/>
      <c r="J959" s="5"/>
      <c r="K959" s="5"/>
      <c r="L959" s="5"/>
      <c r="M959" s="5"/>
      <c r="N959" s="5"/>
      <c r="O959" s="4"/>
      <c r="P959" s="5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2"/>
      <c r="B960" s="2"/>
      <c r="C960" s="14"/>
      <c r="D960" s="3"/>
      <c r="E960" s="1"/>
      <c r="F960" s="1"/>
      <c r="G960" s="1"/>
      <c r="H960" s="1"/>
      <c r="I960" s="4"/>
      <c r="J960" s="5"/>
      <c r="K960" s="5"/>
      <c r="L960" s="5"/>
      <c r="M960" s="5"/>
      <c r="N960" s="5"/>
      <c r="O960" s="4"/>
      <c r="P960" s="5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2"/>
      <c r="B961" s="2"/>
      <c r="C961" s="14"/>
      <c r="D961" s="3"/>
      <c r="E961" s="1"/>
      <c r="F961" s="1"/>
      <c r="G961" s="1"/>
      <c r="H961" s="1"/>
      <c r="I961" s="4"/>
      <c r="J961" s="5"/>
      <c r="K961" s="5"/>
      <c r="L961" s="5"/>
      <c r="M961" s="5"/>
      <c r="N961" s="5"/>
      <c r="O961" s="4"/>
      <c r="P961" s="5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2"/>
      <c r="B962" s="2"/>
      <c r="C962" s="14"/>
      <c r="D962" s="3"/>
      <c r="E962" s="1"/>
      <c r="F962" s="1"/>
      <c r="G962" s="1"/>
      <c r="H962" s="1"/>
      <c r="I962" s="4"/>
      <c r="J962" s="5"/>
      <c r="K962" s="5"/>
      <c r="L962" s="5"/>
      <c r="M962" s="5"/>
      <c r="N962" s="5"/>
      <c r="O962" s="4"/>
      <c r="P962" s="5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2"/>
      <c r="B963" s="2"/>
      <c r="C963" s="14"/>
      <c r="D963" s="3"/>
      <c r="E963" s="1"/>
      <c r="F963" s="1"/>
      <c r="G963" s="1"/>
      <c r="H963" s="1"/>
      <c r="I963" s="4"/>
      <c r="J963" s="5"/>
      <c r="K963" s="5"/>
      <c r="L963" s="5"/>
      <c r="M963" s="5"/>
      <c r="N963" s="5"/>
      <c r="O963" s="4"/>
      <c r="P963" s="5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2"/>
      <c r="B964" s="2"/>
      <c r="C964" s="14"/>
      <c r="D964" s="3"/>
      <c r="E964" s="1"/>
      <c r="F964" s="1"/>
      <c r="G964" s="1"/>
      <c r="H964" s="1"/>
      <c r="I964" s="4"/>
      <c r="J964" s="5"/>
      <c r="K964" s="5"/>
      <c r="L964" s="5"/>
      <c r="M964" s="5"/>
      <c r="N964" s="5"/>
      <c r="O964" s="4"/>
      <c r="P964" s="5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2"/>
      <c r="B965" s="2"/>
      <c r="C965" s="14"/>
      <c r="D965" s="3"/>
      <c r="E965" s="1"/>
      <c r="F965" s="1"/>
      <c r="G965" s="1"/>
      <c r="H965" s="1"/>
      <c r="I965" s="4"/>
      <c r="J965" s="5"/>
      <c r="K965" s="5"/>
      <c r="L965" s="5"/>
      <c r="M965" s="5"/>
      <c r="N965" s="5"/>
      <c r="O965" s="4"/>
      <c r="P965" s="5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2"/>
      <c r="B966" s="2"/>
      <c r="C966" s="14"/>
      <c r="D966" s="3"/>
      <c r="E966" s="1"/>
      <c r="F966" s="1"/>
      <c r="G966" s="1"/>
      <c r="H966" s="1"/>
      <c r="I966" s="4"/>
      <c r="J966" s="5"/>
      <c r="K966" s="5"/>
      <c r="L966" s="5"/>
      <c r="M966" s="5"/>
      <c r="N966" s="5"/>
      <c r="O966" s="4"/>
      <c r="P966" s="5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2"/>
      <c r="B967" s="2"/>
      <c r="C967" s="14"/>
      <c r="D967" s="3"/>
      <c r="E967" s="1"/>
      <c r="F967" s="1"/>
      <c r="G967" s="1"/>
      <c r="H967" s="1"/>
      <c r="I967" s="4"/>
      <c r="J967" s="5"/>
      <c r="K967" s="5"/>
      <c r="L967" s="5"/>
      <c r="M967" s="5"/>
      <c r="N967" s="5"/>
      <c r="O967" s="4"/>
      <c r="P967" s="5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2"/>
      <c r="B968" s="2"/>
      <c r="C968" s="14"/>
      <c r="D968" s="3"/>
      <c r="E968" s="1"/>
      <c r="F968" s="1"/>
      <c r="G968" s="1"/>
      <c r="H968" s="1"/>
      <c r="I968" s="4"/>
      <c r="J968" s="5"/>
      <c r="K968" s="5"/>
      <c r="L968" s="5"/>
      <c r="M968" s="5"/>
      <c r="N968" s="5"/>
      <c r="O968" s="4"/>
      <c r="P968" s="5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2"/>
      <c r="B969" s="2"/>
      <c r="C969" s="14"/>
      <c r="D969" s="3"/>
      <c r="E969" s="1"/>
      <c r="F969" s="1"/>
      <c r="G969" s="1"/>
      <c r="H969" s="1"/>
      <c r="I969" s="4"/>
      <c r="J969" s="5"/>
      <c r="K969" s="5"/>
      <c r="L969" s="5"/>
      <c r="M969" s="5"/>
      <c r="N969" s="5"/>
      <c r="O969" s="4"/>
      <c r="P969" s="5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2"/>
      <c r="B970" s="2"/>
      <c r="C970" s="14"/>
      <c r="D970" s="3"/>
      <c r="E970" s="1"/>
      <c r="F970" s="1"/>
      <c r="G970" s="1"/>
      <c r="H970" s="1"/>
      <c r="I970" s="4"/>
      <c r="J970" s="5"/>
      <c r="K970" s="5"/>
      <c r="L970" s="5"/>
      <c r="M970" s="5"/>
      <c r="N970" s="5"/>
      <c r="O970" s="4"/>
      <c r="P970" s="5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2"/>
      <c r="B971" s="2"/>
      <c r="C971" s="14"/>
      <c r="D971" s="3"/>
      <c r="E971" s="1"/>
      <c r="F971" s="1"/>
      <c r="G971" s="1"/>
      <c r="H971" s="1"/>
      <c r="I971" s="4"/>
      <c r="J971" s="5"/>
      <c r="K971" s="5"/>
      <c r="L971" s="5"/>
      <c r="M971" s="5"/>
      <c r="N971" s="5"/>
      <c r="O971" s="4"/>
      <c r="P971" s="5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2"/>
      <c r="B972" s="2"/>
      <c r="C972" s="14"/>
      <c r="D972" s="3"/>
      <c r="E972" s="1"/>
      <c r="F972" s="1"/>
      <c r="G972" s="1"/>
      <c r="H972" s="1"/>
      <c r="I972" s="4"/>
      <c r="J972" s="5"/>
      <c r="K972" s="5"/>
      <c r="L972" s="5"/>
      <c r="M972" s="5"/>
      <c r="N972" s="5"/>
      <c r="O972" s="4"/>
      <c r="P972" s="5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2"/>
      <c r="B973" s="2"/>
      <c r="C973" s="14"/>
      <c r="D973" s="3"/>
      <c r="E973" s="1"/>
      <c r="F973" s="1"/>
      <c r="G973" s="1"/>
      <c r="H973" s="1"/>
      <c r="I973" s="4"/>
      <c r="J973" s="5"/>
      <c r="K973" s="5"/>
      <c r="L973" s="5"/>
      <c r="M973" s="5"/>
      <c r="N973" s="5"/>
      <c r="O973" s="4"/>
      <c r="P973" s="5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2"/>
      <c r="B974" s="2"/>
      <c r="C974" s="14"/>
      <c r="D974" s="3"/>
      <c r="E974" s="1"/>
      <c r="F974" s="1"/>
      <c r="G974" s="1"/>
      <c r="H974" s="1"/>
      <c r="I974" s="4"/>
      <c r="J974" s="5"/>
      <c r="K974" s="5"/>
      <c r="L974" s="5"/>
      <c r="M974" s="5"/>
      <c r="N974" s="5"/>
      <c r="O974" s="4"/>
      <c r="P974" s="5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2"/>
      <c r="B975" s="2"/>
      <c r="C975" s="14"/>
      <c r="D975" s="3"/>
      <c r="E975" s="1"/>
      <c r="F975" s="1"/>
      <c r="G975" s="1"/>
      <c r="H975" s="1"/>
      <c r="I975" s="4"/>
      <c r="J975" s="5"/>
      <c r="K975" s="5"/>
      <c r="L975" s="5"/>
      <c r="M975" s="5"/>
      <c r="N975" s="5"/>
      <c r="O975" s="4"/>
      <c r="P975" s="5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2"/>
      <c r="B976" s="2"/>
      <c r="C976" s="14"/>
      <c r="D976" s="3"/>
      <c r="E976" s="1"/>
      <c r="F976" s="1"/>
      <c r="G976" s="1"/>
      <c r="H976" s="1"/>
      <c r="I976" s="4"/>
      <c r="J976" s="5"/>
      <c r="K976" s="5"/>
      <c r="L976" s="5"/>
      <c r="M976" s="5"/>
      <c r="N976" s="5"/>
      <c r="O976" s="4"/>
      <c r="P976" s="5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2"/>
      <c r="B977" s="2"/>
      <c r="C977" s="14"/>
      <c r="D977" s="3"/>
      <c r="E977" s="1"/>
      <c r="F977" s="1"/>
      <c r="G977" s="1"/>
      <c r="H977" s="1"/>
      <c r="I977" s="4"/>
      <c r="J977" s="5"/>
      <c r="K977" s="5"/>
      <c r="L977" s="5"/>
      <c r="M977" s="5"/>
      <c r="N977" s="5"/>
      <c r="O977" s="4"/>
      <c r="P977" s="5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2"/>
      <c r="B978" s="2"/>
      <c r="C978" s="14"/>
      <c r="D978" s="3"/>
      <c r="E978" s="1"/>
      <c r="F978" s="1"/>
      <c r="G978" s="1"/>
      <c r="H978" s="1"/>
      <c r="I978" s="4"/>
      <c r="J978" s="5"/>
      <c r="K978" s="5"/>
      <c r="L978" s="5"/>
      <c r="M978" s="5"/>
      <c r="N978" s="5"/>
      <c r="O978" s="4"/>
      <c r="P978" s="5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2"/>
      <c r="B979" s="2"/>
      <c r="C979" s="14"/>
      <c r="D979" s="3"/>
      <c r="E979" s="1"/>
      <c r="F979" s="1"/>
      <c r="G979" s="1"/>
      <c r="H979" s="1"/>
      <c r="I979" s="4"/>
      <c r="J979" s="5"/>
      <c r="K979" s="5"/>
      <c r="L979" s="5"/>
      <c r="M979" s="5"/>
      <c r="N979" s="5"/>
      <c r="O979" s="4"/>
      <c r="P979" s="5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2"/>
      <c r="B980" s="2"/>
      <c r="C980" s="14"/>
      <c r="D980" s="3"/>
      <c r="E980" s="1"/>
      <c r="F980" s="1"/>
      <c r="G980" s="1"/>
      <c r="H980" s="1"/>
      <c r="I980" s="4"/>
      <c r="J980" s="5"/>
      <c r="K980" s="5"/>
      <c r="L980" s="5"/>
      <c r="M980" s="5"/>
      <c r="N980" s="5"/>
      <c r="O980" s="4"/>
      <c r="P980" s="5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2"/>
      <c r="B981" s="2"/>
      <c r="C981" s="14"/>
      <c r="D981" s="3"/>
      <c r="E981" s="1"/>
      <c r="F981" s="1"/>
      <c r="G981" s="1"/>
      <c r="H981" s="1"/>
      <c r="I981" s="4"/>
      <c r="J981" s="5"/>
      <c r="K981" s="5"/>
      <c r="L981" s="5"/>
      <c r="M981" s="5"/>
      <c r="N981" s="5"/>
      <c r="O981" s="4"/>
      <c r="P981" s="5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2"/>
      <c r="B982" s="2"/>
      <c r="C982" s="14"/>
      <c r="D982" s="3"/>
      <c r="E982" s="1"/>
      <c r="F982" s="1"/>
      <c r="G982" s="1"/>
      <c r="H982" s="1"/>
      <c r="I982" s="4"/>
      <c r="J982" s="5"/>
      <c r="K982" s="5"/>
      <c r="L982" s="5"/>
      <c r="M982" s="5"/>
      <c r="N982" s="5"/>
      <c r="O982" s="4"/>
      <c r="P982" s="5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2"/>
      <c r="B983" s="2"/>
      <c r="C983" s="14"/>
      <c r="D983" s="3"/>
      <c r="E983" s="1"/>
      <c r="F983" s="1"/>
      <c r="G983" s="1"/>
      <c r="H983" s="1"/>
      <c r="I983" s="4"/>
      <c r="J983" s="5"/>
      <c r="K983" s="5"/>
      <c r="L983" s="5"/>
      <c r="M983" s="5"/>
      <c r="N983" s="5"/>
      <c r="O983" s="4"/>
      <c r="P983" s="5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2"/>
      <c r="B984" s="2"/>
      <c r="C984" s="14"/>
      <c r="D984" s="3"/>
      <c r="E984" s="1"/>
      <c r="F984" s="1"/>
      <c r="G984" s="1"/>
      <c r="H984" s="1"/>
      <c r="I984" s="4"/>
      <c r="J984" s="5"/>
      <c r="K984" s="5"/>
      <c r="L984" s="5"/>
      <c r="M984" s="5"/>
      <c r="N984" s="5"/>
      <c r="O984" s="4"/>
      <c r="P984" s="5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2"/>
      <c r="B985" s="2"/>
      <c r="C985" s="14"/>
      <c r="D985" s="3"/>
      <c r="E985" s="1"/>
      <c r="F985" s="1"/>
      <c r="G985" s="1"/>
      <c r="H985" s="1"/>
      <c r="I985" s="4"/>
      <c r="J985" s="5"/>
      <c r="K985" s="5"/>
      <c r="L985" s="5"/>
      <c r="M985" s="5"/>
      <c r="N985" s="5"/>
      <c r="O985" s="4"/>
      <c r="P985" s="5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2"/>
      <c r="B986" s="2"/>
      <c r="C986" s="14"/>
      <c r="D986" s="3"/>
      <c r="E986" s="1"/>
      <c r="F986" s="1"/>
      <c r="G986" s="1"/>
      <c r="H986" s="1"/>
      <c r="I986" s="4"/>
      <c r="J986" s="5"/>
      <c r="K986" s="5"/>
      <c r="L986" s="5"/>
      <c r="M986" s="5"/>
      <c r="N986" s="5"/>
      <c r="O986" s="4"/>
      <c r="P986" s="5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2"/>
      <c r="B987" s="2"/>
      <c r="C987" s="14"/>
      <c r="D987" s="3"/>
      <c r="E987" s="1"/>
      <c r="F987" s="1"/>
      <c r="G987" s="1"/>
      <c r="H987" s="1"/>
      <c r="I987" s="4"/>
      <c r="J987" s="5"/>
      <c r="K987" s="5"/>
      <c r="L987" s="5"/>
      <c r="M987" s="5"/>
      <c r="N987" s="5"/>
      <c r="O987" s="4"/>
      <c r="P987" s="5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2"/>
      <c r="B988" s="2"/>
      <c r="C988" s="14"/>
      <c r="D988" s="3"/>
      <c r="E988" s="1"/>
      <c r="F988" s="1"/>
      <c r="G988" s="1"/>
      <c r="H988" s="1"/>
      <c r="I988" s="4"/>
      <c r="J988" s="5"/>
      <c r="K988" s="5"/>
      <c r="L988" s="5"/>
      <c r="M988" s="5"/>
      <c r="N988" s="5"/>
      <c r="O988" s="4"/>
      <c r="P988" s="5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2"/>
      <c r="B989" s="2"/>
      <c r="C989" s="14"/>
      <c r="D989" s="3"/>
      <c r="E989" s="1"/>
      <c r="F989" s="1"/>
      <c r="G989" s="1"/>
      <c r="H989" s="1"/>
      <c r="I989" s="4"/>
      <c r="J989" s="5"/>
      <c r="K989" s="5"/>
      <c r="L989" s="5"/>
      <c r="M989" s="5"/>
      <c r="N989" s="5"/>
      <c r="O989" s="4"/>
      <c r="P989" s="5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2"/>
      <c r="B990" s="2"/>
      <c r="C990" s="14"/>
      <c r="D990" s="3"/>
      <c r="E990" s="1"/>
      <c r="F990" s="1"/>
      <c r="G990" s="1"/>
      <c r="H990" s="1"/>
      <c r="I990" s="4"/>
      <c r="J990" s="5"/>
      <c r="K990" s="5"/>
      <c r="L990" s="5"/>
      <c r="M990" s="5"/>
      <c r="N990" s="5"/>
      <c r="O990" s="4"/>
      <c r="P990" s="5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2"/>
      <c r="B991" s="2"/>
      <c r="C991" s="14"/>
      <c r="D991" s="3"/>
      <c r="E991" s="1"/>
      <c r="F991" s="1"/>
      <c r="G991" s="1"/>
      <c r="H991" s="1"/>
      <c r="I991" s="4"/>
      <c r="J991" s="5"/>
      <c r="K991" s="5"/>
      <c r="L991" s="5"/>
      <c r="M991" s="5"/>
      <c r="N991" s="5"/>
      <c r="O991" s="4"/>
      <c r="P991" s="5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2"/>
      <c r="B992" s="2"/>
      <c r="C992" s="14"/>
      <c r="D992" s="3"/>
      <c r="E992" s="1"/>
      <c r="F992" s="1"/>
      <c r="G992" s="1"/>
      <c r="H992" s="1"/>
      <c r="I992" s="4"/>
      <c r="J992" s="5"/>
      <c r="K992" s="5"/>
      <c r="L992" s="5"/>
      <c r="M992" s="5"/>
      <c r="N992" s="5"/>
      <c r="O992" s="4"/>
      <c r="P992" s="5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2"/>
      <c r="B993" s="2"/>
      <c r="C993" s="14"/>
      <c r="D993" s="3"/>
      <c r="E993" s="1"/>
      <c r="F993" s="1"/>
      <c r="G993" s="1"/>
      <c r="H993" s="1"/>
      <c r="I993" s="4"/>
      <c r="J993" s="5"/>
      <c r="K993" s="5"/>
      <c r="L993" s="5"/>
      <c r="M993" s="5"/>
      <c r="N993" s="5"/>
      <c r="O993" s="4"/>
      <c r="P993" s="5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2"/>
      <c r="B994" s="2"/>
      <c r="C994" s="14"/>
      <c r="D994" s="3"/>
      <c r="E994" s="1"/>
      <c r="F994" s="1"/>
      <c r="G994" s="1"/>
      <c r="H994" s="1"/>
      <c r="I994" s="4"/>
      <c r="J994" s="5"/>
      <c r="K994" s="5"/>
      <c r="L994" s="5"/>
      <c r="M994" s="5"/>
      <c r="N994" s="5"/>
      <c r="O994" s="4"/>
      <c r="P994" s="5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2"/>
      <c r="B995" s="2"/>
      <c r="C995" s="14"/>
      <c r="D995" s="3"/>
      <c r="E995" s="1"/>
      <c r="F995" s="1"/>
      <c r="G995" s="1"/>
      <c r="H995" s="1"/>
      <c r="I995" s="4"/>
      <c r="J995" s="5"/>
      <c r="K995" s="5"/>
      <c r="L995" s="5"/>
      <c r="M995" s="5"/>
      <c r="N995" s="5"/>
      <c r="O995" s="4"/>
      <c r="P995" s="5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2"/>
      <c r="B996" s="2"/>
      <c r="C996" s="14"/>
      <c r="D996" s="3"/>
      <c r="E996" s="1"/>
      <c r="F996" s="1"/>
      <c r="G996" s="1"/>
      <c r="H996" s="1"/>
      <c r="I996" s="4"/>
      <c r="J996" s="5"/>
      <c r="K996" s="5"/>
      <c r="L996" s="5"/>
      <c r="M996" s="5"/>
      <c r="N996" s="5"/>
      <c r="O996" s="4"/>
      <c r="P996" s="5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2"/>
      <c r="B997" s="2"/>
      <c r="C997" s="14"/>
      <c r="D997" s="3"/>
      <c r="E997" s="1"/>
      <c r="F997" s="1"/>
      <c r="G997" s="1"/>
      <c r="H997" s="1"/>
      <c r="I997" s="4"/>
      <c r="J997" s="5"/>
      <c r="K997" s="5"/>
      <c r="L997" s="5"/>
      <c r="M997" s="5"/>
      <c r="N997" s="5"/>
      <c r="O997" s="4"/>
      <c r="P997" s="5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2"/>
      <c r="B998" s="2"/>
      <c r="C998" s="14"/>
      <c r="D998" s="3"/>
      <c r="E998" s="1"/>
      <c r="F998" s="1"/>
      <c r="G998" s="1"/>
      <c r="H998" s="1"/>
      <c r="I998" s="4"/>
      <c r="J998" s="5"/>
      <c r="K998" s="5"/>
      <c r="L998" s="5"/>
      <c r="M998" s="5"/>
      <c r="N998" s="5"/>
      <c r="O998" s="4"/>
      <c r="P998" s="5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2"/>
      <c r="B999" s="2"/>
      <c r="C999" s="14"/>
      <c r="D999" s="3"/>
      <c r="E999" s="1"/>
      <c r="F999" s="1"/>
      <c r="G999" s="1"/>
      <c r="H999" s="1"/>
      <c r="I999" s="4"/>
      <c r="J999" s="5"/>
      <c r="K999" s="5"/>
      <c r="L999" s="5"/>
      <c r="M999" s="5"/>
      <c r="N999" s="5"/>
      <c r="O999" s="4"/>
      <c r="P999" s="5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2"/>
      <c r="B1000" s="2"/>
      <c r="C1000" s="14"/>
      <c r="D1000" s="3"/>
      <c r="E1000" s="1"/>
      <c r="F1000" s="1"/>
      <c r="G1000" s="1"/>
      <c r="H1000" s="1"/>
      <c r="I1000" s="4"/>
      <c r="J1000" s="5"/>
      <c r="K1000" s="5"/>
      <c r="L1000" s="5"/>
      <c r="M1000" s="5"/>
      <c r="N1000" s="5"/>
      <c r="O1000" s="4"/>
      <c r="P1000" s="5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ht="15.75" customHeight="1">
      <c r="A1001" s="2"/>
      <c r="B1001" s="2"/>
      <c r="C1001" s="14"/>
      <c r="D1001" s="3"/>
      <c r="E1001" s="1"/>
      <c r="F1001" s="1"/>
      <c r="G1001" s="1"/>
      <c r="H1001" s="1"/>
      <c r="I1001" s="4"/>
      <c r="J1001" s="5"/>
      <c r="K1001" s="5"/>
      <c r="L1001" s="5"/>
      <c r="M1001" s="5"/>
      <c r="N1001" s="5"/>
      <c r="O1001" s="4"/>
      <c r="P1001" s="5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</sheetData>
  <mergeCells count="1">
    <mergeCell ref="A2:E2"/>
  </mergeCells>
  <conditionalFormatting sqref="O5:O1001">
    <cfRule type="containsText" dxfId="0" priority="1" operator="containsText" text="C">
      <formula>NOT(ISERROR(SEARCH(("C"),(O5))))</formula>
    </cfRule>
  </conditionalFormatting>
  <conditionalFormatting sqref="O5:O1001">
    <cfRule type="containsText" dxfId="1" priority="2" operator="containsText" text="T">
      <formula>NOT(ISERROR(SEARCH(("T"),(O5))))</formula>
    </cfRule>
  </conditionalFormatting>
  <conditionalFormatting sqref="O5:O1001">
    <cfRule type="containsText" dxfId="2" priority="3" operator="containsText" text="O">
      <formula>NOT(ISERROR(SEARCH(("O"),(O5))))</formula>
    </cfRule>
  </conditionalFormatting>
  <conditionalFormatting sqref="O5:O1001">
    <cfRule type="containsText" dxfId="3" priority="4" operator="containsText" text="I">
      <formula>NOT(ISERROR(SEARCH(("I"),(O5))))</formula>
    </cfRule>
  </conditionalFormatting>
  <dataValidations>
    <dataValidation type="list" allowBlank="1" showErrorMessage="1" sqref="S532:S534 O5:O1001">
      <formula1>"C,T,O,I"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75"/>
    <col customWidth="1" min="2" max="2" width="8.38"/>
    <col customWidth="1" min="3" max="3" width="1.88"/>
    <col customWidth="1" min="4" max="4" width="8.25"/>
    <col customWidth="1" min="7" max="7" width="39.63"/>
    <col customWidth="1" min="8" max="8" width="6.13"/>
    <col customWidth="1" min="9" max="9" width="6.88"/>
    <col customWidth="1" min="10" max="10" width="9.63"/>
    <col customWidth="1" min="11" max="11" width="7.5"/>
    <col customWidth="1" min="12" max="12" width="10.38"/>
    <col customWidth="1" min="13" max="13" width="5.75"/>
    <col customWidth="1" min="14" max="14" width="8.13"/>
    <col customWidth="1" min="15" max="15" width="6.88"/>
    <col customWidth="1" min="16" max="29" width="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5"/>
      <c r="J1" s="25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1"/>
      <c r="C2" s="1"/>
      <c r="D2" s="1"/>
      <c r="E2" s="1"/>
      <c r="F2" s="1"/>
      <c r="G2" s="1"/>
      <c r="H2" s="1"/>
      <c r="I2" s="25"/>
      <c r="J2" s="25"/>
      <c r="K2" s="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75" customHeight="1">
      <c r="A3" s="1"/>
      <c r="B3" s="1"/>
      <c r="C3" s="1"/>
      <c r="D3" s="1">
        <v>1.0</v>
      </c>
      <c r="E3" s="1">
        <v>2.0</v>
      </c>
      <c r="F3" s="1">
        <v>3.0</v>
      </c>
      <c r="G3" s="1">
        <v>4.0</v>
      </c>
      <c r="H3" s="1">
        <v>5.0</v>
      </c>
      <c r="I3" s="1">
        <v>6.0</v>
      </c>
      <c r="J3" s="1">
        <v>7.0</v>
      </c>
      <c r="K3" s="1">
        <v>8.0</v>
      </c>
      <c r="L3" s="1">
        <v>9.0</v>
      </c>
      <c r="M3" s="1">
        <v>10.0</v>
      </c>
      <c r="N3" s="1">
        <v>11.0</v>
      </c>
      <c r="O3" s="1">
        <v>12.0</v>
      </c>
      <c r="P3" s="1">
        <v>13.0</v>
      </c>
      <c r="Q3" s="1">
        <v>14.0</v>
      </c>
      <c r="R3" s="1">
        <v>15.0</v>
      </c>
      <c r="S3" s="1">
        <v>16.0</v>
      </c>
      <c r="T3" s="1">
        <v>17.0</v>
      </c>
      <c r="U3" s="1">
        <v>18.0</v>
      </c>
      <c r="V3" s="1">
        <v>19.0</v>
      </c>
      <c r="W3" s="1">
        <v>20.0</v>
      </c>
      <c r="X3" s="1">
        <v>21.0</v>
      </c>
      <c r="Y3" s="1">
        <v>22.0</v>
      </c>
      <c r="Z3" s="1"/>
      <c r="AA3" s="1"/>
      <c r="AB3" s="1"/>
      <c r="AC3" s="1"/>
    </row>
    <row r="4" ht="15.75" customHeight="1">
      <c r="A4" s="27" t="s">
        <v>358</v>
      </c>
      <c r="B4" s="27" t="s">
        <v>359</v>
      </c>
      <c r="C4" s="27"/>
      <c r="D4" s="27" t="s">
        <v>360</v>
      </c>
      <c r="E4" s="27" t="s">
        <v>361</v>
      </c>
      <c r="F4" s="27" t="s">
        <v>362</v>
      </c>
      <c r="G4" s="27" t="s">
        <v>363</v>
      </c>
      <c r="H4" s="27" t="s">
        <v>364</v>
      </c>
      <c r="I4" s="28" t="s">
        <v>365</v>
      </c>
      <c r="J4" s="28" t="s">
        <v>366</v>
      </c>
      <c r="K4" s="29" t="s">
        <v>367</v>
      </c>
      <c r="L4" s="27" t="s">
        <v>368</v>
      </c>
      <c r="M4" s="27" t="s">
        <v>369</v>
      </c>
      <c r="N4" s="30" t="s">
        <v>370</v>
      </c>
      <c r="O4" s="30" t="s">
        <v>371</v>
      </c>
      <c r="P4" s="30" t="s">
        <v>372</v>
      </c>
      <c r="Q4" s="30" t="s">
        <v>371</v>
      </c>
      <c r="R4" s="30" t="s">
        <v>373</v>
      </c>
      <c r="S4" s="30" t="s">
        <v>371</v>
      </c>
      <c r="T4" s="30" t="s">
        <v>374</v>
      </c>
      <c r="U4" s="30" t="s">
        <v>371</v>
      </c>
      <c r="V4" s="30" t="s">
        <v>375</v>
      </c>
      <c r="W4" s="30" t="s">
        <v>371</v>
      </c>
      <c r="X4" s="30" t="s">
        <v>376</v>
      </c>
      <c r="Y4" s="30" t="s">
        <v>371</v>
      </c>
      <c r="Z4" s="30"/>
      <c r="AA4" s="30"/>
      <c r="AB4" s="30"/>
      <c r="AC4" s="30"/>
    </row>
    <row r="5" ht="15.75" customHeight="1">
      <c r="A5" s="1" t="s">
        <v>377</v>
      </c>
      <c r="B5" s="1">
        <f t="shared" ref="B5:B259" si="3">IF(A4=A5,B4+1,1)</f>
        <v>1</v>
      </c>
      <c r="C5" s="1">
        <f t="shared" ref="C5:C259" si="4">IF(A4=A5,C4,C4+1)</f>
        <v>1</v>
      </c>
      <c r="D5" s="1" t="s">
        <v>378</v>
      </c>
      <c r="E5" s="1" t="s">
        <v>379</v>
      </c>
      <c r="F5" s="1" t="s">
        <v>379</v>
      </c>
      <c r="G5" s="1" t="s">
        <v>380</v>
      </c>
      <c r="H5" s="1"/>
      <c r="I5" s="25"/>
      <c r="J5" s="25">
        <v>65000.0</v>
      </c>
      <c r="K5" s="5">
        <f t="shared" ref="K5:K182" si="5">(J5-I5)/J5*100</f>
        <v>100</v>
      </c>
      <c r="L5" s="25">
        <f t="shared" ref="L5:L182" si="6">J5-I5</f>
        <v>65000</v>
      </c>
      <c r="M5" s="1" t="s">
        <v>381</v>
      </c>
      <c r="N5" s="25" t="str">
        <f t="shared" ref="N5:O5" si="1">I5</f>
        <v/>
      </c>
      <c r="O5" s="25">
        <f t="shared" si="1"/>
        <v>65000</v>
      </c>
      <c r="P5" s="25" t="str">
        <f t="shared" ref="P5:Q5" si="2">N5</f>
        <v/>
      </c>
      <c r="Q5" s="25">
        <f t="shared" si="2"/>
        <v>65000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75" customHeight="1">
      <c r="A6" s="1" t="s">
        <v>377</v>
      </c>
      <c r="B6" s="1">
        <f t="shared" si="3"/>
        <v>2</v>
      </c>
      <c r="C6" s="1">
        <f t="shared" si="4"/>
        <v>1</v>
      </c>
      <c r="D6" s="1" t="s">
        <v>382</v>
      </c>
      <c r="E6" s="1" t="s">
        <v>379</v>
      </c>
      <c r="F6" s="1" t="s">
        <v>379</v>
      </c>
      <c r="G6" s="1" t="s">
        <v>383</v>
      </c>
      <c r="H6" s="1"/>
      <c r="I6" s="25">
        <v>1.0</v>
      </c>
      <c r="J6" s="25">
        <v>1.0</v>
      </c>
      <c r="K6" s="5">
        <f t="shared" si="5"/>
        <v>0</v>
      </c>
      <c r="L6" s="25">
        <f t="shared" si="6"/>
        <v>0</v>
      </c>
      <c r="M6" s="1"/>
      <c r="N6" s="25">
        <v>1.0</v>
      </c>
      <c r="O6" s="25">
        <v>1.0</v>
      </c>
      <c r="P6" s="25">
        <f t="shared" ref="P6:Q6" si="7">N6</f>
        <v>1</v>
      </c>
      <c r="Q6" s="25">
        <f t="shared" si="7"/>
        <v>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75" customHeight="1">
      <c r="A7" s="1" t="s">
        <v>377</v>
      </c>
      <c r="B7" s="1">
        <f t="shared" si="3"/>
        <v>3</v>
      </c>
      <c r="C7" s="1">
        <f t="shared" si="4"/>
        <v>1</v>
      </c>
      <c r="D7" s="1" t="s">
        <v>171</v>
      </c>
      <c r="E7" s="1" t="s">
        <v>379</v>
      </c>
      <c r="F7" s="1" t="s">
        <v>379</v>
      </c>
      <c r="G7" s="1" t="s">
        <v>384</v>
      </c>
      <c r="H7" s="1"/>
      <c r="I7" s="25">
        <v>0.0</v>
      </c>
      <c r="J7" s="25">
        <v>1.0</v>
      </c>
      <c r="K7" s="5">
        <f t="shared" si="5"/>
        <v>100</v>
      </c>
      <c r="L7" s="25">
        <f t="shared" si="6"/>
        <v>1</v>
      </c>
      <c r="M7" s="1"/>
      <c r="N7" s="25">
        <v>0.0</v>
      </c>
      <c r="O7" s="25">
        <v>1.0</v>
      </c>
      <c r="P7" s="25">
        <f t="shared" ref="P7:Q7" si="8">N7</f>
        <v>0</v>
      </c>
      <c r="Q7" s="25">
        <f t="shared" si="8"/>
        <v>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1" t="s">
        <v>385</v>
      </c>
      <c r="B8" s="1">
        <f t="shared" si="3"/>
        <v>1</v>
      </c>
      <c r="C8" s="1">
        <f t="shared" si="4"/>
        <v>2</v>
      </c>
      <c r="D8" s="1" t="s">
        <v>331</v>
      </c>
      <c r="E8" s="1" t="s">
        <v>386</v>
      </c>
      <c r="F8" s="1" t="s">
        <v>386</v>
      </c>
      <c r="G8" s="1" t="s">
        <v>387</v>
      </c>
      <c r="H8" s="1"/>
      <c r="I8" s="25">
        <v>7142.857142857143</v>
      </c>
      <c r="J8" s="25">
        <v>15000.0</v>
      </c>
      <c r="K8" s="5">
        <f t="shared" si="5"/>
        <v>52.38095238</v>
      </c>
      <c r="L8" s="25">
        <f t="shared" si="6"/>
        <v>7857.142857</v>
      </c>
      <c r="M8" s="1"/>
      <c r="N8" s="25">
        <v>7142.857142857143</v>
      </c>
      <c r="O8" s="25">
        <v>15000.0</v>
      </c>
      <c r="P8" s="25">
        <f t="shared" ref="P8:Q8" si="9">N8</f>
        <v>7142.857143</v>
      </c>
      <c r="Q8" s="25">
        <f t="shared" si="9"/>
        <v>15000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75" customHeight="1">
      <c r="A9" s="1" t="s">
        <v>385</v>
      </c>
      <c r="B9" s="1">
        <f t="shared" si="3"/>
        <v>2</v>
      </c>
      <c r="C9" s="1">
        <f t="shared" si="4"/>
        <v>2</v>
      </c>
      <c r="D9" s="1" t="s">
        <v>388</v>
      </c>
      <c r="E9" s="1" t="s">
        <v>386</v>
      </c>
      <c r="F9" s="1" t="s">
        <v>386</v>
      </c>
      <c r="G9" s="1" t="s">
        <v>389</v>
      </c>
      <c r="H9" s="1"/>
      <c r="I9" s="25">
        <v>30000.0</v>
      </c>
      <c r="J9" s="25">
        <v>50000.0</v>
      </c>
      <c r="K9" s="31">
        <f t="shared" si="5"/>
        <v>40</v>
      </c>
      <c r="L9" s="32">
        <f t="shared" si="6"/>
        <v>20000</v>
      </c>
      <c r="M9" s="1"/>
      <c r="N9" s="25">
        <f t="shared" ref="N9:O9" si="10">I9</f>
        <v>30000</v>
      </c>
      <c r="O9" s="25">
        <f t="shared" si="10"/>
        <v>50000</v>
      </c>
      <c r="P9" s="25">
        <f t="shared" ref="P9:Q9" si="11">N9</f>
        <v>30000</v>
      </c>
      <c r="Q9" s="25">
        <f t="shared" si="11"/>
        <v>50000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75" customHeight="1">
      <c r="A10" s="1" t="s">
        <v>385</v>
      </c>
      <c r="B10" s="1">
        <f t="shared" si="3"/>
        <v>3</v>
      </c>
      <c r="C10" s="1">
        <f t="shared" si="4"/>
        <v>2</v>
      </c>
      <c r="D10" s="1" t="s">
        <v>78</v>
      </c>
      <c r="E10" s="1" t="s">
        <v>386</v>
      </c>
      <c r="F10" s="1" t="s">
        <v>386</v>
      </c>
      <c r="G10" s="1" t="s">
        <v>390</v>
      </c>
      <c r="H10" s="1"/>
      <c r="I10" s="25">
        <v>8000.0</v>
      </c>
      <c r="J10" s="25">
        <v>15000.0</v>
      </c>
      <c r="K10" s="5">
        <f t="shared" si="5"/>
        <v>46.66666667</v>
      </c>
      <c r="L10" s="25">
        <f t="shared" si="6"/>
        <v>7000</v>
      </c>
      <c r="M10" s="1"/>
      <c r="N10" s="25">
        <v>8000.0</v>
      </c>
      <c r="O10" s="25">
        <v>15000.0</v>
      </c>
      <c r="P10" s="25">
        <f t="shared" ref="P10:Q10" si="12">N10</f>
        <v>8000</v>
      </c>
      <c r="Q10" s="25">
        <f t="shared" si="12"/>
        <v>15000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1" t="s">
        <v>385</v>
      </c>
      <c r="B11" s="1">
        <f t="shared" si="3"/>
        <v>4</v>
      </c>
      <c r="C11" s="1">
        <f t="shared" si="4"/>
        <v>2</v>
      </c>
      <c r="D11" s="1" t="s">
        <v>391</v>
      </c>
      <c r="E11" s="1" t="s">
        <v>386</v>
      </c>
      <c r="F11" s="1" t="s">
        <v>386</v>
      </c>
      <c r="G11" s="1" t="s">
        <v>392</v>
      </c>
      <c r="H11" s="1"/>
      <c r="I11" s="25">
        <v>8000.0</v>
      </c>
      <c r="J11" s="25">
        <v>13000.0</v>
      </c>
      <c r="K11" s="5">
        <f t="shared" si="5"/>
        <v>38.46153846</v>
      </c>
      <c r="L11" s="25">
        <f t="shared" si="6"/>
        <v>5000</v>
      </c>
      <c r="M11" s="1" t="s">
        <v>393</v>
      </c>
      <c r="N11" s="25">
        <v>8000.0</v>
      </c>
      <c r="O11" s="25">
        <v>13000.0</v>
      </c>
      <c r="P11" s="25">
        <f t="shared" ref="P11:Q11" si="13">N11</f>
        <v>8000</v>
      </c>
      <c r="Q11" s="25">
        <f t="shared" si="13"/>
        <v>13000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75" customHeight="1">
      <c r="A12" s="1" t="s">
        <v>385</v>
      </c>
      <c r="B12" s="1">
        <f t="shared" si="3"/>
        <v>5</v>
      </c>
      <c r="C12" s="1">
        <f t="shared" si="4"/>
        <v>2</v>
      </c>
      <c r="D12" s="1" t="s">
        <v>394</v>
      </c>
      <c r="E12" s="1" t="s">
        <v>386</v>
      </c>
      <c r="F12" s="1" t="s">
        <v>386</v>
      </c>
      <c r="G12" s="1" t="s">
        <v>395</v>
      </c>
      <c r="H12" s="1"/>
      <c r="I12" s="25">
        <v>18000.0</v>
      </c>
      <c r="J12" s="25">
        <v>25000.0</v>
      </c>
      <c r="K12" s="5">
        <f t="shared" si="5"/>
        <v>28</v>
      </c>
      <c r="L12" s="25">
        <f t="shared" si="6"/>
        <v>7000</v>
      </c>
      <c r="M12" s="1"/>
      <c r="N12" s="25">
        <v>18000.0</v>
      </c>
      <c r="O12" s="25">
        <v>25000.0</v>
      </c>
      <c r="P12" s="25">
        <f t="shared" ref="P12:Q12" si="14">N12</f>
        <v>18000</v>
      </c>
      <c r="Q12" s="25">
        <f t="shared" si="14"/>
        <v>25000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75" customHeight="1">
      <c r="A13" s="1" t="s">
        <v>385</v>
      </c>
      <c r="B13" s="1">
        <f t="shared" si="3"/>
        <v>6</v>
      </c>
      <c r="C13" s="1">
        <f t="shared" si="4"/>
        <v>2</v>
      </c>
      <c r="D13" s="1" t="s">
        <v>396</v>
      </c>
      <c r="E13" s="1" t="s">
        <v>386</v>
      </c>
      <c r="F13" s="1" t="s">
        <v>386</v>
      </c>
      <c r="G13" s="1" t="s">
        <v>397</v>
      </c>
      <c r="H13" s="1"/>
      <c r="I13" s="25">
        <v>10000.0</v>
      </c>
      <c r="J13" s="25">
        <v>15000.0</v>
      </c>
      <c r="K13" s="5">
        <f t="shared" si="5"/>
        <v>33.33333333</v>
      </c>
      <c r="L13" s="25">
        <f t="shared" si="6"/>
        <v>5000</v>
      </c>
      <c r="M13" s="1" t="s">
        <v>398</v>
      </c>
      <c r="N13" s="25">
        <v>10000.0</v>
      </c>
      <c r="O13" s="25">
        <v>15000.0</v>
      </c>
      <c r="P13" s="25">
        <f t="shared" ref="P13:Q13" si="15">N13</f>
        <v>10000</v>
      </c>
      <c r="Q13" s="25">
        <f t="shared" si="15"/>
        <v>15000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75" customHeight="1">
      <c r="A14" s="1" t="s">
        <v>385</v>
      </c>
      <c r="B14" s="1">
        <f t="shared" si="3"/>
        <v>7</v>
      </c>
      <c r="C14" s="1">
        <f t="shared" si="4"/>
        <v>2</v>
      </c>
      <c r="D14" s="1" t="s">
        <v>399</v>
      </c>
      <c r="E14" s="1" t="s">
        <v>386</v>
      </c>
      <c r="F14" s="1" t="s">
        <v>386</v>
      </c>
      <c r="G14" s="1" t="s">
        <v>400</v>
      </c>
      <c r="H14" s="1"/>
      <c r="I14" s="25">
        <v>3000.0</v>
      </c>
      <c r="J14" s="25">
        <v>8000.0</v>
      </c>
      <c r="K14" s="5">
        <f t="shared" si="5"/>
        <v>62.5</v>
      </c>
      <c r="L14" s="25">
        <f t="shared" si="6"/>
        <v>5000</v>
      </c>
      <c r="M14" s="1"/>
      <c r="N14" s="25">
        <f t="shared" ref="N14:O14" si="16">I14</f>
        <v>3000</v>
      </c>
      <c r="O14" s="25">
        <f t="shared" si="16"/>
        <v>8000</v>
      </c>
      <c r="P14" s="25">
        <f t="shared" ref="P14:Q14" si="17">N14</f>
        <v>3000</v>
      </c>
      <c r="Q14" s="25">
        <f t="shared" si="17"/>
        <v>8000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75" customHeight="1">
      <c r="A15" s="1" t="s">
        <v>385</v>
      </c>
      <c r="B15" s="1">
        <f t="shared" si="3"/>
        <v>8</v>
      </c>
      <c r="C15" s="1">
        <f t="shared" si="4"/>
        <v>2</v>
      </c>
      <c r="D15" s="1" t="s">
        <v>45</v>
      </c>
      <c r="E15" s="1" t="s">
        <v>386</v>
      </c>
      <c r="F15" s="1" t="s">
        <v>386</v>
      </c>
      <c r="G15" s="1" t="s">
        <v>401</v>
      </c>
      <c r="H15" s="1"/>
      <c r="I15" s="25">
        <v>6000.0</v>
      </c>
      <c r="J15" s="25">
        <v>10000.0</v>
      </c>
      <c r="K15" s="5">
        <f t="shared" si="5"/>
        <v>40</v>
      </c>
      <c r="L15" s="25">
        <f t="shared" si="6"/>
        <v>4000</v>
      </c>
      <c r="M15" s="1" t="s">
        <v>393</v>
      </c>
      <c r="N15" s="25">
        <v>6000.0</v>
      </c>
      <c r="O15" s="25">
        <v>10000.0</v>
      </c>
      <c r="P15" s="25">
        <f t="shared" ref="P15:Q15" si="18">N15</f>
        <v>6000</v>
      </c>
      <c r="Q15" s="25">
        <f t="shared" si="18"/>
        <v>10000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75" customHeight="1">
      <c r="A16" s="1" t="s">
        <v>385</v>
      </c>
      <c r="B16" s="1">
        <f t="shared" si="3"/>
        <v>9</v>
      </c>
      <c r="C16" s="1">
        <f t="shared" si="4"/>
        <v>2</v>
      </c>
      <c r="D16" s="1" t="s">
        <v>67</v>
      </c>
      <c r="E16" s="1" t="s">
        <v>386</v>
      </c>
      <c r="F16" s="1" t="s">
        <v>386</v>
      </c>
      <c r="G16" s="1" t="s">
        <v>402</v>
      </c>
      <c r="H16" s="1"/>
      <c r="I16" s="25">
        <v>3000.0</v>
      </c>
      <c r="J16" s="25">
        <v>5000.0</v>
      </c>
      <c r="K16" s="5">
        <f t="shared" si="5"/>
        <v>40</v>
      </c>
      <c r="L16" s="25">
        <f t="shared" si="6"/>
        <v>2000</v>
      </c>
      <c r="M16" s="1"/>
      <c r="N16" s="25">
        <v>3000.0</v>
      </c>
      <c r="O16" s="25">
        <v>5000.0</v>
      </c>
      <c r="P16" s="25">
        <f t="shared" ref="P16:Q16" si="19">N16</f>
        <v>3000</v>
      </c>
      <c r="Q16" s="25">
        <f t="shared" si="19"/>
        <v>5000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75" customHeight="1">
      <c r="A17" s="1" t="s">
        <v>385</v>
      </c>
      <c r="B17" s="1">
        <f t="shared" si="3"/>
        <v>10</v>
      </c>
      <c r="C17" s="1">
        <f t="shared" si="4"/>
        <v>2</v>
      </c>
      <c r="D17" s="1" t="s">
        <v>403</v>
      </c>
      <c r="E17" s="1" t="s">
        <v>386</v>
      </c>
      <c r="F17" s="1" t="s">
        <v>386</v>
      </c>
      <c r="G17" s="1" t="s">
        <v>404</v>
      </c>
      <c r="H17" s="1"/>
      <c r="I17" s="25">
        <v>6000.0</v>
      </c>
      <c r="J17" s="25">
        <v>12000.0</v>
      </c>
      <c r="K17" s="5">
        <f t="shared" si="5"/>
        <v>50</v>
      </c>
      <c r="L17" s="25">
        <f t="shared" si="6"/>
        <v>6000</v>
      </c>
      <c r="M17" s="1" t="s">
        <v>393</v>
      </c>
      <c r="N17" s="25">
        <v>6000.0</v>
      </c>
      <c r="O17" s="25">
        <v>12000.0</v>
      </c>
      <c r="P17" s="25">
        <f t="shared" ref="P17:Q17" si="20">N17</f>
        <v>6000</v>
      </c>
      <c r="Q17" s="25">
        <f t="shared" si="20"/>
        <v>12000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75" customHeight="1">
      <c r="A18" s="1" t="s">
        <v>385</v>
      </c>
      <c r="B18" s="1">
        <f t="shared" si="3"/>
        <v>11</v>
      </c>
      <c r="C18" s="1">
        <f t="shared" si="4"/>
        <v>2</v>
      </c>
      <c r="D18" s="1" t="s">
        <v>348</v>
      </c>
      <c r="E18" s="1" t="s">
        <v>386</v>
      </c>
      <c r="F18" s="1" t="s">
        <v>386</v>
      </c>
      <c r="G18" s="1" t="s">
        <v>405</v>
      </c>
      <c r="H18" s="1"/>
      <c r="I18" s="25">
        <v>4285.714285714285</v>
      </c>
      <c r="J18" s="25">
        <v>12000.0</v>
      </c>
      <c r="K18" s="5">
        <f t="shared" si="5"/>
        <v>64.28571429</v>
      </c>
      <c r="L18" s="25">
        <f t="shared" si="6"/>
        <v>7714.285714</v>
      </c>
      <c r="M18" s="1"/>
      <c r="N18" s="25">
        <v>4285.714285714285</v>
      </c>
      <c r="O18" s="25">
        <v>12000.0</v>
      </c>
      <c r="P18" s="25">
        <f t="shared" ref="P18:Q18" si="21">N18</f>
        <v>4285.714286</v>
      </c>
      <c r="Q18" s="25">
        <f t="shared" si="21"/>
        <v>12000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75" customHeight="1">
      <c r="A19" s="1" t="s">
        <v>385</v>
      </c>
      <c r="B19" s="1">
        <f t="shared" si="3"/>
        <v>12</v>
      </c>
      <c r="C19" s="1">
        <f t="shared" si="4"/>
        <v>2</v>
      </c>
      <c r="D19" s="1" t="s">
        <v>243</v>
      </c>
      <c r="E19" s="1" t="s">
        <v>386</v>
      </c>
      <c r="F19" s="1" t="s">
        <v>386</v>
      </c>
      <c r="G19" s="1" t="s">
        <v>406</v>
      </c>
      <c r="H19" s="33"/>
      <c r="I19" s="32">
        <v>30000.0</v>
      </c>
      <c r="J19" s="32">
        <v>50000.0</v>
      </c>
      <c r="K19" s="31">
        <f t="shared" si="5"/>
        <v>40</v>
      </c>
      <c r="L19" s="32">
        <f t="shared" si="6"/>
        <v>20000</v>
      </c>
      <c r="M19" s="1" t="s">
        <v>407</v>
      </c>
      <c r="N19" s="25">
        <f t="shared" ref="N19:O19" si="22">I19</f>
        <v>30000</v>
      </c>
      <c r="O19" s="25">
        <f t="shared" si="22"/>
        <v>50000</v>
      </c>
      <c r="P19" s="25">
        <f t="shared" ref="P19:Q19" si="23">N19</f>
        <v>30000</v>
      </c>
      <c r="Q19" s="25">
        <f t="shared" si="23"/>
        <v>50000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75" customHeight="1">
      <c r="A20" s="1" t="s">
        <v>385</v>
      </c>
      <c r="B20" s="1">
        <f t="shared" si="3"/>
        <v>13</v>
      </c>
      <c r="C20" s="1">
        <f t="shared" si="4"/>
        <v>2</v>
      </c>
      <c r="D20" s="1" t="s">
        <v>408</v>
      </c>
      <c r="E20" s="1" t="s">
        <v>386</v>
      </c>
      <c r="F20" s="1" t="s">
        <v>386</v>
      </c>
      <c r="G20" s="1" t="s">
        <v>409</v>
      </c>
      <c r="H20" s="1"/>
      <c r="I20" s="25">
        <v>37000.0</v>
      </c>
      <c r="J20" s="25">
        <v>50000.0</v>
      </c>
      <c r="K20" s="31">
        <f t="shared" si="5"/>
        <v>26</v>
      </c>
      <c r="L20" s="32">
        <f t="shared" si="6"/>
        <v>13000</v>
      </c>
      <c r="M20" s="1"/>
      <c r="N20" s="25">
        <f t="shared" ref="N20:O20" si="24">I20</f>
        <v>37000</v>
      </c>
      <c r="O20" s="25">
        <f t="shared" si="24"/>
        <v>50000</v>
      </c>
      <c r="P20" s="25">
        <f t="shared" ref="P20:Q20" si="25">N20</f>
        <v>37000</v>
      </c>
      <c r="Q20" s="25">
        <f t="shared" si="25"/>
        <v>50000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 t="s">
        <v>385</v>
      </c>
      <c r="B21" s="1">
        <f t="shared" si="3"/>
        <v>14</v>
      </c>
      <c r="C21" s="1">
        <f t="shared" si="4"/>
        <v>2</v>
      </c>
      <c r="D21" s="1" t="s">
        <v>410</v>
      </c>
      <c r="E21" s="1" t="s">
        <v>386</v>
      </c>
      <c r="F21" s="1" t="s">
        <v>386</v>
      </c>
      <c r="G21" s="1" t="s">
        <v>411</v>
      </c>
      <c r="H21" s="1"/>
      <c r="I21" s="25">
        <v>18500.0</v>
      </c>
      <c r="J21" s="25">
        <v>25000.0</v>
      </c>
      <c r="K21" s="31">
        <f t="shared" si="5"/>
        <v>26</v>
      </c>
      <c r="L21" s="32">
        <f t="shared" si="6"/>
        <v>6500</v>
      </c>
      <c r="M21" s="1"/>
      <c r="N21" s="25">
        <f t="shared" ref="N21:O21" si="26">I21</f>
        <v>18500</v>
      </c>
      <c r="O21" s="25">
        <f t="shared" si="26"/>
        <v>25000</v>
      </c>
      <c r="P21" s="25">
        <f t="shared" ref="P21:Q21" si="27">N21</f>
        <v>18500</v>
      </c>
      <c r="Q21" s="25">
        <f t="shared" si="27"/>
        <v>25000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 t="s">
        <v>385</v>
      </c>
      <c r="B22" s="1">
        <f t="shared" si="3"/>
        <v>15</v>
      </c>
      <c r="C22" s="1">
        <f t="shared" si="4"/>
        <v>2</v>
      </c>
      <c r="D22" s="1" t="s">
        <v>412</v>
      </c>
      <c r="E22" s="1" t="s">
        <v>386</v>
      </c>
      <c r="F22" s="1" t="s">
        <v>386</v>
      </c>
      <c r="G22" s="1" t="s">
        <v>413</v>
      </c>
      <c r="H22" s="1"/>
      <c r="I22" s="25">
        <v>10000.0</v>
      </c>
      <c r="J22" s="25">
        <v>15000.0</v>
      </c>
      <c r="K22" s="5">
        <f t="shared" si="5"/>
        <v>33.33333333</v>
      </c>
      <c r="L22" s="25">
        <f t="shared" si="6"/>
        <v>5000</v>
      </c>
      <c r="M22" s="1"/>
      <c r="N22" s="25">
        <v>10000.0</v>
      </c>
      <c r="O22" s="25">
        <v>15000.0</v>
      </c>
      <c r="P22" s="25">
        <f t="shared" ref="P22:Q22" si="28">N22</f>
        <v>10000</v>
      </c>
      <c r="Q22" s="25">
        <f t="shared" si="28"/>
        <v>15000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 t="s">
        <v>385</v>
      </c>
      <c r="B23" s="1">
        <f t="shared" si="3"/>
        <v>16</v>
      </c>
      <c r="C23" s="1">
        <f t="shared" si="4"/>
        <v>2</v>
      </c>
      <c r="D23" s="1" t="s">
        <v>414</v>
      </c>
      <c r="E23" s="1" t="s">
        <v>386</v>
      </c>
      <c r="F23" s="1" t="s">
        <v>386</v>
      </c>
      <c r="G23" s="1" t="s">
        <v>415</v>
      </c>
      <c r="H23" s="1"/>
      <c r="I23" s="25">
        <v>50000.0</v>
      </c>
      <c r="J23" s="25">
        <v>70000.0</v>
      </c>
      <c r="K23" s="5">
        <f t="shared" si="5"/>
        <v>28.57142857</v>
      </c>
      <c r="L23" s="25">
        <f t="shared" si="6"/>
        <v>20000</v>
      </c>
      <c r="M23" s="1" t="s">
        <v>398</v>
      </c>
      <c r="N23" s="25">
        <v>50000.0</v>
      </c>
      <c r="O23" s="25">
        <v>70000.0</v>
      </c>
      <c r="P23" s="25">
        <f t="shared" ref="P23:Q23" si="29">N23</f>
        <v>50000</v>
      </c>
      <c r="Q23" s="25">
        <f t="shared" si="29"/>
        <v>70000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 t="s">
        <v>385</v>
      </c>
      <c r="B24" s="1">
        <f t="shared" si="3"/>
        <v>17</v>
      </c>
      <c r="C24" s="1">
        <f t="shared" si="4"/>
        <v>2</v>
      </c>
      <c r="D24" s="1" t="s">
        <v>416</v>
      </c>
      <c r="E24" s="1" t="s">
        <v>386</v>
      </c>
      <c r="F24" s="1" t="s">
        <v>386</v>
      </c>
      <c r="G24" s="1" t="s">
        <v>417</v>
      </c>
      <c r="H24" s="1"/>
      <c r="I24" s="25">
        <v>12000.0</v>
      </c>
      <c r="J24" s="25">
        <v>20000.0</v>
      </c>
      <c r="K24" s="31">
        <f t="shared" si="5"/>
        <v>40</v>
      </c>
      <c r="L24" s="32">
        <f t="shared" si="6"/>
        <v>8000</v>
      </c>
      <c r="M24" s="1"/>
      <c r="N24" s="25">
        <f t="shared" ref="N24:O24" si="30">I24</f>
        <v>12000</v>
      </c>
      <c r="O24" s="25">
        <f t="shared" si="30"/>
        <v>20000</v>
      </c>
      <c r="P24" s="25">
        <f t="shared" ref="P24:Q24" si="31">N24</f>
        <v>12000</v>
      </c>
      <c r="Q24" s="25">
        <f t="shared" si="31"/>
        <v>20000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 t="s">
        <v>385</v>
      </c>
      <c r="B25" s="1">
        <f t="shared" si="3"/>
        <v>18</v>
      </c>
      <c r="C25" s="1">
        <f t="shared" si="4"/>
        <v>2</v>
      </c>
      <c r="D25" s="1" t="s">
        <v>69</v>
      </c>
      <c r="E25" s="1" t="s">
        <v>386</v>
      </c>
      <c r="F25" s="1" t="s">
        <v>386</v>
      </c>
      <c r="G25" s="1" t="s">
        <v>418</v>
      </c>
      <c r="H25" s="1"/>
      <c r="I25" s="25">
        <v>7500.0</v>
      </c>
      <c r="J25" s="25">
        <v>12000.0</v>
      </c>
      <c r="K25" s="5">
        <f t="shared" si="5"/>
        <v>37.5</v>
      </c>
      <c r="L25" s="25">
        <f t="shared" si="6"/>
        <v>4500</v>
      </c>
      <c r="M25" s="1" t="s">
        <v>393</v>
      </c>
      <c r="N25" s="25">
        <v>7500.0</v>
      </c>
      <c r="O25" s="25">
        <v>12000.0</v>
      </c>
      <c r="P25" s="25">
        <f t="shared" ref="P25:Q25" si="32">N25</f>
        <v>7500</v>
      </c>
      <c r="Q25" s="25">
        <f t="shared" si="32"/>
        <v>12000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 t="s">
        <v>385</v>
      </c>
      <c r="B26" s="1">
        <f t="shared" si="3"/>
        <v>19</v>
      </c>
      <c r="C26" s="1">
        <f t="shared" si="4"/>
        <v>2</v>
      </c>
      <c r="D26" s="1" t="s">
        <v>419</v>
      </c>
      <c r="E26" s="1" t="s">
        <v>386</v>
      </c>
      <c r="F26" s="1" t="s">
        <v>386</v>
      </c>
      <c r="G26" s="1" t="s">
        <v>420</v>
      </c>
      <c r="H26" s="1"/>
      <c r="I26" s="25">
        <f>100000/4</f>
        <v>25000</v>
      </c>
      <c r="J26" s="25">
        <v>35000.0</v>
      </c>
      <c r="K26" s="31">
        <f t="shared" si="5"/>
        <v>28.57142857</v>
      </c>
      <c r="L26" s="32">
        <f t="shared" si="6"/>
        <v>10000</v>
      </c>
      <c r="M26" s="1"/>
      <c r="N26" s="25">
        <f t="shared" ref="N26:O26" si="33">I26</f>
        <v>25000</v>
      </c>
      <c r="O26" s="25">
        <f t="shared" si="33"/>
        <v>35000</v>
      </c>
      <c r="P26" s="25">
        <f t="shared" ref="P26:Q26" si="34">N26</f>
        <v>25000</v>
      </c>
      <c r="Q26" s="25">
        <f t="shared" si="34"/>
        <v>35000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 t="s">
        <v>385</v>
      </c>
      <c r="B27" s="1">
        <f t="shared" si="3"/>
        <v>20</v>
      </c>
      <c r="C27" s="1">
        <f t="shared" si="4"/>
        <v>2</v>
      </c>
      <c r="D27" s="1" t="s">
        <v>137</v>
      </c>
      <c r="E27" s="1" t="s">
        <v>386</v>
      </c>
      <c r="F27" s="1" t="s">
        <v>386</v>
      </c>
      <c r="G27" s="1" t="s">
        <v>421</v>
      </c>
      <c r="H27" s="1"/>
      <c r="I27" s="25">
        <v>7000.0</v>
      </c>
      <c r="J27" s="25">
        <v>12000.0</v>
      </c>
      <c r="K27" s="5">
        <f t="shared" si="5"/>
        <v>41.66666667</v>
      </c>
      <c r="L27" s="25">
        <f t="shared" si="6"/>
        <v>5000</v>
      </c>
      <c r="M27" s="1"/>
      <c r="N27" s="25">
        <v>7000.0</v>
      </c>
      <c r="O27" s="25">
        <v>12000.0</v>
      </c>
      <c r="P27" s="25">
        <f t="shared" ref="P27:Q27" si="35">N27</f>
        <v>7000</v>
      </c>
      <c r="Q27" s="25">
        <f t="shared" si="35"/>
        <v>12000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 t="s">
        <v>385</v>
      </c>
      <c r="B28" s="1">
        <f t="shared" si="3"/>
        <v>21</v>
      </c>
      <c r="C28" s="1">
        <f t="shared" si="4"/>
        <v>2</v>
      </c>
      <c r="D28" s="1" t="s">
        <v>422</v>
      </c>
      <c r="E28" s="1" t="s">
        <v>386</v>
      </c>
      <c r="F28" s="1" t="s">
        <v>386</v>
      </c>
      <c r="G28" s="1" t="s">
        <v>423</v>
      </c>
      <c r="H28" s="1"/>
      <c r="I28" s="25">
        <v>5000.0</v>
      </c>
      <c r="J28" s="25">
        <v>6000.0</v>
      </c>
      <c r="K28" s="5">
        <f t="shared" si="5"/>
        <v>16.66666667</v>
      </c>
      <c r="L28" s="25">
        <f t="shared" si="6"/>
        <v>1000</v>
      </c>
      <c r="M28" s="1"/>
      <c r="N28" s="1">
        <v>4000.0</v>
      </c>
      <c r="O28" s="25">
        <v>6000.0</v>
      </c>
      <c r="P28" s="1">
        <f t="shared" ref="P28:Q28" si="36">N28</f>
        <v>4000</v>
      </c>
      <c r="Q28" s="25">
        <f t="shared" si="36"/>
        <v>6000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 t="s">
        <v>385</v>
      </c>
      <c r="B29" s="1">
        <f t="shared" si="3"/>
        <v>22</v>
      </c>
      <c r="C29" s="1">
        <f t="shared" si="4"/>
        <v>2</v>
      </c>
      <c r="D29" s="1" t="s">
        <v>115</v>
      </c>
      <c r="E29" s="1" t="s">
        <v>386</v>
      </c>
      <c r="F29" s="1" t="s">
        <v>386</v>
      </c>
      <c r="G29" s="1" t="s">
        <v>424</v>
      </c>
      <c r="H29" s="1"/>
      <c r="I29" s="25">
        <v>8000.0</v>
      </c>
      <c r="J29" s="25">
        <v>15000.0</v>
      </c>
      <c r="K29" s="5">
        <f t="shared" si="5"/>
        <v>46.66666667</v>
      </c>
      <c r="L29" s="25">
        <f t="shared" si="6"/>
        <v>7000</v>
      </c>
      <c r="M29" s="1" t="s">
        <v>393</v>
      </c>
      <c r="N29" s="25">
        <v>8000.0</v>
      </c>
      <c r="O29" s="25">
        <v>15000.0</v>
      </c>
      <c r="P29" s="25">
        <f t="shared" ref="P29:Q29" si="37">N29</f>
        <v>8000</v>
      </c>
      <c r="Q29" s="25">
        <f t="shared" si="37"/>
        <v>15000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 t="s">
        <v>385</v>
      </c>
      <c r="B30" s="1">
        <f t="shared" si="3"/>
        <v>23</v>
      </c>
      <c r="C30" s="1">
        <f t="shared" si="4"/>
        <v>2</v>
      </c>
      <c r="D30" s="1" t="s">
        <v>425</v>
      </c>
      <c r="E30" s="1" t="s">
        <v>386</v>
      </c>
      <c r="F30" s="1" t="s">
        <v>386</v>
      </c>
      <c r="G30" s="1" t="s">
        <v>426</v>
      </c>
      <c r="H30" s="1"/>
      <c r="I30" s="25">
        <f>8500/10</f>
        <v>850</v>
      </c>
      <c r="J30" s="25">
        <v>3000.0</v>
      </c>
      <c r="K30" s="31">
        <f t="shared" si="5"/>
        <v>71.66666667</v>
      </c>
      <c r="L30" s="32">
        <f t="shared" si="6"/>
        <v>2150</v>
      </c>
      <c r="M30" s="1"/>
      <c r="N30" s="25">
        <f t="shared" ref="N30:O30" si="38">I30</f>
        <v>850</v>
      </c>
      <c r="O30" s="25">
        <f t="shared" si="38"/>
        <v>3000</v>
      </c>
      <c r="P30" s="25">
        <f t="shared" ref="P30:Q30" si="39">N30</f>
        <v>850</v>
      </c>
      <c r="Q30" s="25">
        <f t="shared" si="39"/>
        <v>3000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 t="s">
        <v>385</v>
      </c>
      <c r="B31" s="1">
        <f t="shared" si="3"/>
        <v>24</v>
      </c>
      <c r="C31" s="1">
        <f t="shared" si="4"/>
        <v>2</v>
      </c>
      <c r="D31" s="1" t="s">
        <v>220</v>
      </c>
      <c r="E31" s="1" t="s">
        <v>386</v>
      </c>
      <c r="F31" s="1" t="s">
        <v>386</v>
      </c>
      <c r="G31" s="1" t="s">
        <v>427</v>
      </c>
      <c r="H31" s="1"/>
      <c r="I31" s="25">
        <v>25000.0</v>
      </c>
      <c r="J31" s="25">
        <v>35000.0</v>
      </c>
      <c r="K31" s="5">
        <f t="shared" si="5"/>
        <v>28.57142857</v>
      </c>
      <c r="L31" s="25">
        <f t="shared" si="6"/>
        <v>10000</v>
      </c>
      <c r="M31" s="1" t="s">
        <v>393</v>
      </c>
      <c r="N31" s="25">
        <v>25000.0</v>
      </c>
      <c r="O31" s="25">
        <v>35000.0</v>
      </c>
      <c r="P31" s="25">
        <f t="shared" ref="P31:Q31" si="40">N31</f>
        <v>25000</v>
      </c>
      <c r="Q31" s="25">
        <f t="shared" si="40"/>
        <v>35000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 t="s">
        <v>385</v>
      </c>
      <c r="B32" s="1">
        <f t="shared" si="3"/>
        <v>25</v>
      </c>
      <c r="C32" s="1">
        <f t="shared" si="4"/>
        <v>2</v>
      </c>
      <c r="D32" s="1" t="s">
        <v>428</v>
      </c>
      <c r="E32" s="1" t="s">
        <v>386</v>
      </c>
      <c r="F32" s="1" t="s">
        <v>386</v>
      </c>
      <c r="G32" s="1" t="s">
        <v>429</v>
      </c>
      <c r="H32" s="1"/>
      <c r="I32" s="25">
        <v>13000.0</v>
      </c>
      <c r="J32" s="25">
        <v>17000.0</v>
      </c>
      <c r="K32" s="5">
        <f t="shared" si="5"/>
        <v>23.52941176</v>
      </c>
      <c r="L32" s="25">
        <f t="shared" si="6"/>
        <v>4000</v>
      </c>
      <c r="M32" s="1"/>
      <c r="N32" s="25">
        <v>13000.0</v>
      </c>
      <c r="O32" s="25">
        <v>17000.0</v>
      </c>
      <c r="P32" s="25">
        <f t="shared" ref="P32:Q32" si="41">N32</f>
        <v>13000</v>
      </c>
      <c r="Q32" s="25">
        <f t="shared" si="41"/>
        <v>17000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 t="s">
        <v>385</v>
      </c>
      <c r="B33" s="1">
        <f t="shared" si="3"/>
        <v>26</v>
      </c>
      <c r="C33" s="1">
        <f t="shared" si="4"/>
        <v>2</v>
      </c>
      <c r="D33" s="1" t="s">
        <v>303</v>
      </c>
      <c r="E33" s="1" t="s">
        <v>386</v>
      </c>
      <c r="F33" s="1" t="s">
        <v>386</v>
      </c>
      <c r="G33" s="1" t="s">
        <v>430</v>
      </c>
      <c r="H33" s="1"/>
      <c r="I33" s="25">
        <v>8000.0</v>
      </c>
      <c r="J33" s="25">
        <v>15000.0</v>
      </c>
      <c r="K33" s="5">
        <f t="shared" si="5"/>
        <v>46.66666667</v>
      </c>
      <c r="L33" s="25">
        <f t="shared" si="6"/>
        <v>7000</v>
      </c>
      <c r="M33" s="1" t="s">
        <v>393</v>
      </c>
      <c r="N33" s="25">
        <v>8000.0</v>
      </c>
      <c r="O33" s="25">
        <v>15000.0</v>
      </c>
      <c r="P33" s="25">
        <f t="shared" ref="P33:Q33" si="42">N33</f>
        <v>8000</v>
      </c>
      <c r="Q33" s="25">
        <f t="shared" si="42"/>
        <v>15000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 t="s">
        <v>385</v>
      </c>
      <c r="B34" s="1">
        <f t="shared" si="3"/>
        <v>27</v>
      </c>
      <c r="C34" s="1">
        <f t="shared" si="4"/>
        <v>2</v>
      </c>
      <c r="D34" s="1" t="s">
        <v>431</v>
      </c>
      <c r="E34" s="1" t="s">
        <v>386</v>
      </c>
      <c r="F34" s="1" t="s">
        <v>386</v>
      </c>
      <c r="G34" s="1" t="s">
        <v>432</v>
      </c>
      <c r="H34" s="1"/>
      <c r="I34" s="25">
        <v>15000.0</v>
      </c>
      <c r="J34" s="25">
        <v>20000.0</v>
      </c>
      <c r="K34" s="5">
        <f t="shared" si="5"/>
        <v>25</v>
      </c>
      <c r="L34" s="25">
        <f t="shared" si="6"/>
        <v>5000</v>
      </c>
      <c r="M34" s="1"/>
      <c r="N34" s="25">
        <v>15000.0</v>
      </c>
      <c r="O34" s="25">
        <v>20000.0</v>
      </c>
      <c r="P34" s="25">
        <f t="shared" ref="P34:Q34" si="43">N34</f>
        <v>15000</v>
      </c>
      <c r="Q34" s="25">
        <f t="shared" si="43"/>
        <v>20000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 t="s">
        <v>385</v>
      </c>
      <c r="B35" s="1">
        <f t="shared" si="3"/>
        <v>28</v>
      </c>
      <c r="C35" s="1">
        <f t="shared" si="4"/>
        <v>2</v>
      </c>
      <c r="D35" s="1" t="s">
        <v>433</v>
      </c>
      <c r="E35" s="1" t="s">
        <v>386</v>
      </c>
      <c r="F35" s="1" t="s">
        <v>386</v>
      </c>
      <c r="G35" s="1" t="s">
        <v>434</v>
      </c>
      <c r="H35" s="1"/>
      <c r="I35" s="25">
        <v>13000.0</v>
      </c>
      <c r="J35" s="25">
        <v>17000.0</v>
      </c>
      <c r="K35" s="5">
        <f t="shared" si="5"/>
        <v>23.52941176</v>
      </c>
      <c r="L35" s="25">
        <f t="shared" si="6"/>
        <v>4000</v>
      </c>
      <c r="M35" s="1" t="s">
        <v>407</v>
      </c>
      <c r="N35" s="25">
        <v>13000.0</v>
      </c>
      <c r="O35" s="25">
        <v>17000.0</v>
      </c>
      <c r="P35" s="25">
        <f t="shared" ref="P35:Q35" si="44">N35</f>
        <v>13000</v>
      </c>
      <c r="Q35" s="25">
        <f t="shared" si="44"/>
        <v>17000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 t="s">
        <v>385</v>
      </c>
      <c r="B36" s="1">
        <f t="shared" si="3"/>
        <v>29</v>
      </c>
      <c r="C36" s="1">
        <f t="shared" si="4"/>
        <v>2</v>
      </c>
      <c r="D36" s="1" t="s">
        <v>435</v>
      </c>
      <c r="E36" s="1" t="s">
        <v>386</v>
      </c>
      <c r="F36" s="1" t="s">
        <v>386</v>
      </c>
      <c r="G36" s="1" t="s">
        <v>436</v>
      </c>
      <c r="H36" s="1"/>
      <c r="I36" s="25">
        <v>13000.0</v>
      </c>
      <c r="J36" s="25">
        <v>17000.0</v>
      </c>
      <c r="K36" s="5">
        <f t="shared" si="5"/>
        <v>23.52941176</v>
      </c>
      <c r="L36" s="25">
        <f t="shared" si="6"/>
        <v>4000</v>
      </c>
      <c r="M36" s="1" t="s">
        <v>407</v>
      </c>
      <c r="N36" s="25">
        <v>13000.0</v>
      </c>
      <c r="O36" s="25">
        <v>17000.0</v>
      </c>
      <c r="P36" s="25">
        <f t="shared" ref="P36:Q36" si="45">N36</f>
        <v>13000</v>
      </c>
      <c r="Q36" s="25">
        <f t="shared" si="45"/>
        <v>17000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 t="s">
        <v>385</v>
      </c>
      <c r="B37" s="1">
        <f t="shared" si="3"/>
        <v>30</v>
      </c>
      <c r="C37" s="1">
        <f t="shared" si="4"/>
        <v>2</v>
      </c>
      <c r="D37" s="1" t="s">
        <v>437</v>
      </c>
      <c r="E37" s="1" t="s">
        <v>386</v>
      </c>
      <c r="F37" s="1" t="s">
        <v>386</v>
      </c>
      <c r="G37" s="1" t="s">
        <v>438</v>
      </c>
      <c r="H37" s="1"/>
      <c r="I37" s="25">
        <v>20000.0</v>
      </c>
      <c r="J37" s="25">
        <v>40000.0</v>
      </c>
      <c r="K37" s="31">
        <f t="shared" si="5"/>
        <v>50</v>
      </c>
      <c r="L37" s="32">
        <f t="shared" si="6"/>
        <v>20000</v>
      </c>
      <c r="M37" s="1"/>
      <c r="N37" s="25">
        <f t="shared" ref="N37:O37" si="46">I37</f>
        <v>20000</v>
      </c>
      <c r="O37" s="25">
        <f t="shared" si="46"/>
        <v>40000</v>
      </c>
      <c r="P37" s="25">
        <f t="shared" ref="P37:Q37" si="47">N37</f>
        <v>20000</v>
      </c>
      <c r="Q37" s="25">
        <f t="shared" si="47"/>
        <v>40000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 t="s">
        <v>385</v>
      </c>
      <c r="B38" s="1">
        <f t="shared" si="3"/>
        <v>31</v>
      </c>
      <c r="C38" s="1">
        <f t="shared" si="4"/>
        <v>2</v>
      </c>
      <c r="D38" s="1" t="s">
        <v>140</v>
      </c>
      <c r="E38" s="1" t="s">
        <v>386</v>
      </c>
      <c r="F38" s="1" t="s">
        <v>386</v>
      </c>
      <c r="G38" s="1" t="s">
        <v>439</v>
      </c>
      <c r="H38" s="1"/>
      <c r="I38" s="25">
        <v>12000.0</v>
      </c>
      <c r="J38" s="25">
        <v>20000.0</v>
      </c>
      <c r="K38" s="5">
        <f t="shared" si="5"/>
        <v>40</v>
      </c>
      <c r="L38" s="25">
        <f t="shared" si="6"/>
        <v>8000</v>
      </c>
      <c r="M38" s="1"/>
      <c r="N38" s="25">
        <v>12000.0</v>
      </c>
      <c r="O38" s="25">
        <v>20000.0</v>
      </c>
      <c r="P38" s="25">
        <f t="shared" ref="P38:Q38" si="48">N38</f>
        <v>12000</v>
      </c>
      <c r="Q38" s="25">
        <f t="shared" si="48"/>
        <v>20000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 t="s">
        <v>385</v>
      </c>
      <c r="B39" s="1">
        <f t="shared" si="3"/>
        <v>32</v>
      </c>
      <c r="C39" s="1">
        <f t="shared" si="4"/>
        <v>2</v>
      </c>
      <c r="D39" s="1" t="s">
        <v>440</v>
      </c>
      <c r="E39" s="1" t="s">
        <v>386</v>
      </c>
      <c r="F39" s="1" t="s">
        <v>386</v>
      </c>
      <c r="G39" s="1" t="s">
        <v>441</v>
      </c>
      <c r="H39" s="1"/>
      <c r="I39" s="25">
        <v>3250.0</v>
      </c>
      <c r="J39" s="25">
        <v>7500.0</v>
      </c>
      <c r="K39" s="5">
        <f t="shared" si="5"/>
        <v>56.66666667</v>
      </c>
      <c r="L39" s="25">
        <f t="shared" si="6"/>
        <v>4250</v>
      </c>
      <c r="M39" s="1" t="s">
        <v>407</v>
      </c>
      <c r="N39" s="25">
        <v>3250.0</v>
      </c>
      <c r="O39" s="25">
        <v>7500.0</v>
      </c>
      <c r="P39" s="25">
        <f t="shared" ref="P39:Q39" si="49">N39</f>
        <v>3250</v>
      </c>
      <c r="Q39" s="25">
        <f t="shared" si="49"/>
        <v>7500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 t="s">
        <v>385</v>
      </c>
      <c r="B40" s="1">
        <f t="shared" si="3"/>
        <v>33</v>
      </c>
      <c r="C40" s="1">
        <f t="shared" si="4"/>
        <v>2</v>
      </c>
      <c r="D40" s="1" t="s">
        <v>312</v>
      </c>
      <c r="E40" s="1" t="s">
        <v>386</v>
      </c>
      <c r="F40" s="1" t="s">
        <v>386</v>
      </c>
      <c r="G40" s="1" t="s">
        <v>442</v>
      </c>
      <c r="H40" s="1"/>
      <c r="I40" s="25">
        <v>3250.0</v>
      </c>
      <c r="J40" s="25">
        <v>7500.0</v>
      </c>
      <c r="K40" s="5">
        <f t="shared" si="5"/>
        <v>56.66666667</v>
      </c>
      <c r="L40" s="25">
        <f t="shared" si="6"/>
        <v>4250</v>
      </c>
      <c r="M40" s="1" t="s">
        <v>407</v>
      </c>
      <c r="N40" s="25">
        <v>3250.0</v>
      </c>
      <c r="O40" s="25">
        <v>7500.0</v>
      </c>
      <c r="P40" s="25">
        <f t="shared" ref="P40:Q40" si="50">N40</f>
        <v>3250</v>
      </c>
      <c r="Q40" s="25">
        <f t="shared" si="50"/>
        <v>7500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 t="s">
        <v>385</v>
      </c>
      <c r="B41" s="1">
        <f t="shared" si="3"/>
        <v>34</v>
      </c>
      <c r="C41" s="1">
        <f t="shared" si="4"/>
        <v>2</v>
      </c>
      <c r="D41" s="1" t="s">
        <v>443</v>
      </c>
      <c r="E41" s="1" t="s">
        <v>386</v>
      </c>
      <c r="F41" s="1" t="s">
        <v>386</v>
      </c>
      <c r="G41" s="1" t="s">
        <v>444</v>
      </c>
      <c r="H41" s="1"/>
      <c r="I41" s="25"/>
      <c r="J41" s="25">
        <v>17000.0</v>
      </c>
      <c r="K41" s="5">
        <f t="shared" si="5"/>
        <v>100</v>
      </c>
      <c r="L41" s="25">
        <f t="shared" si="6"/>
        <v>17000</v>
      </c>
      <c r="M41" s="1"/>
      <c r="N41" s="25"/>
      <c r="O41" s="25">
        <v>17000.0</v>
      </c>
      <c r="P41" s="25" t="str">
        <f t="shared" ref="P41:Q41" si="51">N41</f>
        <v/>
      </c>
      <c r="Q41" s="25">
        <f t="shared" si="51"/>
        <v>17000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 t="s">
        <v>385</v>
      </c>
      <c r="B42" s="1">
        <f t="shared" si="3"/>
        <v>35</v>
      </c>
      <c r="C42" s="1">
        <f t="shared" si="4"/>
        <v>2</v>
      </c>
      <c r="D42" s="1" t="s">
        <v>169</v>
      </c>
      <c r="E42" s="1" t="s">
        <v>386</v>
      </c>
      <c r="F42" s="1" t="s">
        <v>386</v>
      </c>
      <c r="G42" s="1" t="s">
        <v>445</v>
      </c>
      <c r="H42" s="1"/>
      <c r="I42" s="25">
        <v>8000.0</v>
      </c>
      <c r="J42" s="25">
        <v>15000.0</v>
      </c>
      <c r="K42" s="5">
        <f t="shared" si="5"/>
        <v>46.66666667</v>
      </c>
      <c r="L42" s="25">
        <f t="shared" si="6"/>
        <v>7000</v>
      </c>
      <c r="M42" s="1"/>
      <c r="N42" s="25">
        <v>8000.0</v>
      </c>
      <c r="O42" s="25">
        <v>15000.0</v>
      </c>
      <c r="P42" s="25">
        <f t="shared" ref="P42:Q42" si="52">N42</f>
        <v>8000</v>
      </c>
      <c r="Q42" s="25">
        <f t="shared" si="52"/>
        <v>15000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 t="s">
        <v>385</v>
      </c>
      <c r="B43" s="1">
        <f t="shared" si="3"/>
        <v>36</v>
      </c>
      <c r="C43" s="1">
        <f t="shared" si="4"/>
        <v>2</v>
      </c>
      <c r="D43" s="1" t="s">
        <v>446</v>
      </c>
      <c r="E43" s="1" t="s">
        <v>386</v>
      </c>
      <c r="F43" s="1" t="s">
        <v>386</v>
      </c>
      <c r="G43" s="1" t="s">
        <v>447</v>
      </c>
      <c r="H43" s="1"/>
      <c r="I43" s="25">
        <v>10000.0</v>
      </c>
      <c r="J43" s="25">
        <v>15000.0</v>
      </c>
      <c r="K43" s="31">
        <f t="shared" si="5"/>
        <v>33.33333333</v>
      </c>
      <c r="L43" s="32">
        <f t="shared" si="6"/>
        <v>5000</v>
      </c>
      <c r="M43" s="1"/>
      <c r="N43" s="25">
        <f t="shared" ref="N43:O43" si="53">I43</f>
        <v>10000</v>
      </c>
      <c r="O43" s="25">
        <f t="shared" si="53"/>
        <v>15000</v>
      </c>
      <c r="P43" s="25">
        <f t="shared" ref="P43:Q43" si="54">N43</f>
        <v>10000</v>
      </c>
      <c r="Q43" s="25">
        <f t="shared" si="54"/>
        <v>15000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 t="s">
        <v>385</v>
      </c>
      <c r="B44" s="1">
        <f t="shared" si="3"/>
        <v>37</v>
      </c>
      <c r="C44" s="1">
        <f t="shared" si="4"/>
        <v>2</v>
      </c>
      <c r="D44" s="1" t="s">
        <v>22</v>
      </c>
      <c r="E44" s="1" t="s">
        <v>386</v>
      </c>
      <c r="F44" s="1" t="s">
        <v>386</v>
      </c>
      <c r="G44" s="1" t="s">
        <v>448</v>
      </c>
      <c r="H44" s="1"/>
      <c r="I44" s="25">
        <v>5000.0</v>
      </c>
      <c r="J44" s="25">
        <v>10000.0</v>
      </c>
      <c r="K44" s="5">
        <f t="shared" si="5"/>
        <v>50</v>
      </c>
      <c r="L44" s="25">
        <f t="shared" si="6"/>
        <v>5000</v>
      </c>
      <c r="M44" s="1"/>
      <c r="N44" s="25">
        <v>5000.0</v>
      </c>
      <c r="O44" s="25">
        <v>10000.0</v>
      </c>
      <c r="P44" s="25">
        <f t="shared" ref="P44:Q44" si="55">N44</f>
        <v>5000</v>
      </c>
      <c r="Q44" s="25">
        <f t="shared" si="55"/>
        <v>10000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 t="s">
        <v>385</v>
      </c>
      <c r="B45" s="1">
        <f t="shared" si="3"/>
        <v>38</v>
      </c>
      <c r="C45" s="1">
        <f t="shared" si="4"/>
        <v>2</v>
      </c>
      <c r="D45" s="1" t="s">
        <v>449</v>
      </c>
      <c r="E45" s="1" t="s">
        <v>386</v>
      </c>
      <c r="F45" s="1" t="s">
        <v>386</v>
      </c>
      <c r="G45" s="1" t="s">
        <v>450</v>
      </c>
      <c r="H45" s="1"/>
      <c r="I45" s="25">
        <v>32000.0</v>
      </c>
      <c r="J45" s="25">
        <v>38000.0</v>
      </c>
      <c r="K45" s="5">
        <f t="shared" si="5"/>
        <v>15.78947368</v>
      </c>
      <c r="L45" s="25">
        <f t="shared" si="6"/>
        <v>6000</v>
      </c>
      <c r="M45" s="1" t="s">
        <v>451</v>
      </c>
      <c r="N45" s="25">
        <v>32000.0</v>
      </c>
      <c r="O45" s="25">
        <v>38000.0</v>
      </c>
      <c r="P45" s="25">
        <f t="shared" ref="P45:Q45" si="56">N45</f>
        <v>32000</v>
      </c>
      <c r="Q45" s="25">
        <f t="shared" si="56"/>
        <v>38000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 t="s">
        <v>385</v>
      </c>
      <c r="B46" s="1">
        <f t="shared" si="3"/>
        <v>39</v>
      </c>
      <c r="C46" s="1">
        <f t="shared" si="4"/>
        <v>2</v>
      </c>
      <c r="D46" s="1" t="s">
        <v>94</v>
      </c>
      <c r="E46" s="1" t="s">
        <v>386</v>
      </c>
      <c r="F46" s="1" t="s">
        <v>386</v>
      </c>
      <c r="G46" s="1" t="s">
        <v>452</v>
      </c>
      <c r="H46" s="1"/>
      <c r="I46" s="25">
        <v>6000.0</v>
      </c>
      <c r="J46" s="25">
        <v>10000.0</v>
      </c>
      <c r="K46" s="5">
        <f t="shared" si="5"/>
        <v>40</v>
      </c>
      <c r="L46" s="25">
        <f t="shared" si="6"/>
        <v>4000</v>
      </c>
      <c r="M46" s="1" t="s">
        <v>393</v>
      </c>
      <c r="N46" s="25">
        <v>6000.0</v>
      </c>
      <c r="O46" s="25">
        <v>12000.0</v>
      </c>
      <c r="P46" s="25">
        <f t="shared" ref="P46:Q46" si="57">N46</f>
        <v>6000</v>
      </c>
      <c r="Q46" s="25">
        <f t="shared" si="57"/>
        <v>12000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 t="s">
        <v>385</v>
      </c>
      <c r="B47" s="1">
        <f t="shared" si="3"/>
        <v>40</v>
      </c>
      <c r="C47" s="1">
        <f t="shared" si="4"/>
        <v>2</v>
      </c>
      <c r="D47" s="1" t="s">
        <v>215</v>
      </c>
      <c r="E47" s="1" t="s">
        <v>386</v>
      </c>
      <c r="F47" s="1" t="s">
        <v>386</v>
      </c>
      <c r="G47" s="1" t="s">
        <v>453</v>
      </c>
      <c r="H47" s="1"/>
      <c r="I47" s="25">
        <v>17000.0</v>
      </c>
      <c r="J47" s="25">
        <v>25000.0</v>
      </c>
      <c r="K47" s="5">
        <f t="shared" si="5"/>
        <v>32</v>
      </c>
      <c r="L47" s="25">
        <f t="shared" si="6"/>
        <v>8000</v>
      </c>
      <c r="M47" s="1" t="s">
        <v>393</v>
      </c>
      <c r="N47" s="25">
        <v>17000.0</v>
      </c>
      <c r="O47" s="25">
        <v>25000.0</v>
      </c>
      <c r="P47" s="25">
        <f t="shared" ref="P47:Q47" si="58">N47</f>
        <v>17000</v>
      </c>
      <c r="Q47" s="25">
        <f t="shared" si="58"/>
        <v>25000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 t="s">
        <v>385</v>
      </c>
      <c r="B48" s="1">
        <f t="shared" si="3"/>
        <v>41</v>
      </c>
      <c r="C48" s="1">
        <f t="shared" si="4"/>
        <v>2</v>
      </c>
      <c r="D48" s="1" t="s">
        <v>58</v>
      </c>
      <c r="E48" s="1" t="s">
        <v>386</v>
      </c>
      <c r="F48" s="1" t="s">
        <v>386</v>
      </c>
      <c r="G48" s="1" t="s">
        <v>454</v>
      </c>
      <c r="H48" s="1"/>
      <c r="I48" s="25">
        <v>3400.0</v>
      </c>
      <c r="J48" s="25">
        <v>8000.0</v>
      </c>
      <c r="K48" s="5">
        <f t="shared" si="5"/>
        <v>57.5</v>
      </c>
      <c r="L48" s="25">
        <f t="shared" si="6"/>
        <v>4600</v>
      </c>
      <c r="M48" s="1" t="s">
        <v>398</v>
      </c>
      <c r="N48" s="25">
        <v>3400.0</v>
      </c>
      <c r="O48" s="25">
        <v>8000.0</v>
      </c>
      <c r="P48" s="25">
        <f t="shared" ref="P48:Q48" si="59">N48</f>
        <v>3400</v>
      </c>
      <c r="Q48" s="25">
        <f t="shared" si="59"/>
        <v>8000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 t="s">
        <v>385</v>
      </c>
      <c r="B49" s="1">
        <f t="shared" si="3"/>
        <v>42</v>
      </c>
      <c r="C49" s="1">
        <f t="shared" si="4"/>
        <v>2</v>
      </c>
      <c r="D49" s="1" t="s">
        <v>138</v>
      </c>
      <c r="E49" s="1" t="s">
        <v>386</v>
      </c>
      <c r="F49" s="1" t="s">
        <v>386</v>
      </c>
      <c r="G49" s="1" t="s">
        <v>455</v>
      </c>
      <c r="H49" s="1"/>
      <c r="I49" s="25">
        <v>6000.0</v>
      </c>
      <c r="J49" s="25">
        <v>12000.0</v>
      </c>
      <c r="K49" s="5">
        <f t="shared" si="5"/>
        <v>50</v>
      </c>
      <c r="L49" s="25">
        <f t="shared" si="6"/>
        <v>6000</v>
      </c>
      <c r="M49" s="1"/>
      <c r="N49" s="25">
        <v>6000.0</v>
      </c>
      <c r="O49" s="25">
        <v>12000.0</v>
      </c>
      <c r="P49" s="25">
        <f t="shared" ref="P49:Q49" si="60">N49</f>
        <v>6000</v>
      </c>
      <c r="Q49" s="25">
        <f t="shared" si="60"/>
        <v>12000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 t="s">
        <v>385</v>
      </c>
      <c r="B50" s="1">
        <f t="shared" si="3"/>
        <v>43</v>
      </c>
      <c r="C50" s="1">
        <f t="shared" si="4"/>
        <v>2</v>
      </c>
      <c r="D50" s="1" t="s">
        <v>456</v>
      </c>
      <c r="E50" s="1" t="s">
        <v>386</v>
      </c>
      <c r="F50" s="1" t="s">
        <v>386</v>
      </c>
      <c r="G50" s="1" t="s">
        <v>457</v>
      </c>
      <c r="H50" s="1"/>
      <c r="I50" s="25">
        <v>3000.0</v>
      </c>
      <c r="J50" s="25">
        <v>8000.0</v>
      </c>
      <c r="K50" s="5">
        <f t="shared" si="5"/>
        <v>62.5</v>
      </c>
      <c r="L50" s="25">
        <f t="shared" si="6"/>
        <v>5000</v>
      </c>
      <c r="M50" s="1" t="s">
        <v>393</v>
      </c>
      <c r="N50" s="25">
        <v>3000.0</v>
      </c>
      <c r="O50" s="25">
        <v>8000.0</v>
      </c>
      <c r="P50" s="25">
        <f t="shared" ref="P50:Q50" si="61">N50</f>
        <v>3000</v>
      </c>
      <c r="Q50" s="25">
        <f t="shared" si="61"/>
        <v>8000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 t="s">
        <v>385</v>
      </c>
      <c r="B51" s="1">
        <f t="shared" si="3"/>
        <v>44</v>
      </c>
      <c r="C51" s="1">
        <f t="shared" si="4"/>
        <v>2</v>
      </c>
      <c r="D51" s="1" t="s">
        <v>46</v>
      </c>
      <c r="E51" s="1" t="s">
        <v>386</v>
      </c>
      <c r="F51" s="1" t="s">
        <v>386</v>
      </c>
      <c r="G51" s="1" t="s">
        <v>458</v>
      </c>
      <c r="H51" s="1"/>
      <c r="I51" s="25">
        <v>6000.0</v>
      </c>
      <c r="J51" s="25">
        <v>10000.0</v>
      </c>
      <c r="K51" s="5">
        <f t="shared" si="5"/>
        <v>40</v>
      </c>
      <c r="L51" s="25">
        <f t="shared" si="6"/>
        <v>4000</v>
      </c>
      <c r="M51" s="1" t="s">
        <v>393</v>
      </c>
      <c r="N51" s="25">
        <v>6000.0</v>
      </c>
      <c r="O51" s="25">
        <v>10000.0</v>
      </c>
      <c r="P51" s="25">
        <f t="shared" ref="P51:Q51" si="62">N51</f>
        <v>6000</v>
      </c>
      <c r="Q51" s="25">
        <f t="shared" si="62"/>
        <v>10000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 t="s">
        <v>385</v>
      </c>
      <c r="B52" s="1">
        <f t="shared" si="3"/>
        <v>45</v>
      </c>
      <c r="C52" s="1">
        <f t="shared" si="4"/>
        <v>2</v>
      </c>
      <c r="D52" s="1" t="s">
        <v>272</v>
      </c>
      <c r="E52" s="1" t="s">
        <v>386</v>
      </c>
      <c r="F52" s="1" t="s">
        <v>386</v>
      </c>
      <c r="G52" s="1" t="s">
        <v>459</v>
      </c>
      <c r="H52" s="1"/>
      <c r="I52" s="25">
        <v>8000.0</v>
      </c>
      <c r="J52" s="25">
        <v>15000.0</v>
      </c>
      <c r="K52" s="5">
        <f t="shared" si="5"/>
        <v>46.66666667</v>
      </c>
      <c r="L52" s="25">
        <f t="shared" si="6"/>
        <v>7000</v>
      </c>
      <c r="M52" s="1"/>
      <c r="N52" s="25">
        <v>8000.0</v>
      </c>
      <c r="O52" s="25">
        <v>15000.0</v>
      </c>
      <c r="P52" s="25">
        <f t="shared" ref="P52:Q52" si="63">N52</f>
        <v>8000</v>
      </c>
      <c r="Q52" s="25">
        <f t="shared" si="63"/>
        <v>15000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 t="s">
        <v>385</v>
      </c>
      <c r="B53" s="1">
        <f t="shared" si="3"/>
        <v>46</v>
      </c>
      <c r="C53" s="1">
        <f t="shared" si="4"/>
        <v>2</v>
      </c>
      <c r="D53" s="1" t="s">
        <v>175</v>
      </c>
      <c r="E53" s="1" t="s">
        <v>386</v>
      </c>
      <c r="F53" s="1" t="s">
        <v>386</v>
      </c>
      <c r="G53" s="1" t="s">
        <v>460</v>
      </c>
      <c r="H53" s="1"/>
      <c r="I53" s="25">
        <v>1667.0</v>
      </c>
      <c r="J53" s="25">
        <v>5000.0</v>
      </c>
      <c r="K53" s="5">
        <f t="shared" si="5"/>
        <v>66.66</v>
      </c>
      <c r="L53" s="25">
        <f t="shared" si="6"/>
        <v>3333</v>
      </c>
      <c r="M53" s="1" t="s">
        <v>393</v>
      </c>
      <c r="N53" s="25">
        <v>1667.0</v>
      </c>
      <c r="O53" s="25">
        <v>5000.0</v>
      </c>
      <c r="P53" s="25">
        <f t="shared" ref="P53:Q53" si="64">N53</f>
        <v>1667</v>
      </c>
      <c r="Q53" s="25">
        <f t="shared" si="64"/>
        <v>5000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 t="s">
        <v>385</v>
      </c>
      <c r="B54" s="1">
        <f t="shared" si="3"/>
        <v>47</v>
      </c>
      <c r="C54" s="1">
        <f t="shared" si="4"/>
        <v>2</v>
      </c>
      <c r="D54" s="1" t="s">
        <v>354</v>
      </c>
      <c r="E54" s="1" t="s">
        <v>386</v>
      </c>
      <c r="F54" s="1" t="s">
        <v>386</v>
      </c>
      <c r="G54" s="1" t="s">
        <v>461</v>
      </c>
      <c r="H54" s="1"/>
      <c r="I54" s="25">
        <v>5000.0</v>
      </c>
      <c r="J54" s="25">
        <v>10000.0</v>
      </c>
      <c r="K54" s="31">
        <f t="shared" si="5"/>
        <v>50</v>
      </c>
      <c r="L54" s="32">
        <f t="shared" si="6"/>
        <v>5000</v>
      </c>
      <c r="M54" s="1"/>
      <c r="N54" s="25">
        <f t="shared" ref="N54:O54" si="65">I54</f>
        <v>5000</v>
      </c>
      <c r="O54" s="25">
        <f t="shared" si="65"/>
        <v>10000</v>
      </c>
      <c r="P54" s="25">
        <f t="shared" ref="P54:Q54" si="66">N54</f>
        <v>5000</v>
      </c>
      <c r="Q54" s="25">
        <f t="shared" si="66"/>
        <v>10000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 t="s">
        <v>385</v>
      </c>
      <c r="B55" s="1">
        <f t="shared" si="3"/>
        <v>48</v>
      </c>
      <c r="C55" s="1">
        <f t="shared" si="4"/>
        <v>2</v>
      </c>
      <c r="D55" s="1" t="s">
        <v>462</v>
      </c>
      <c r="E55" s="1" t="s">
        <v>386</v>
      </c>
      <c r="F55" s="1" t="s">
        <v>386</v>
      </c>
      <c r="G55" s="1" t="s">
        <v>463</v>
      </c>
      <c r="H55" s="1"/>
      <c r="I55" s="25">
        <f>5000/10</f>
        <v>500</v>
      </c>
      <c r="J55" s="25">
        <v>3000.0</v>
      </c>
      <c r="K55" s="31">
        <f t="shared" si="5"/>
        <v>83.33333333</v>
      </c>
      <c r="L55" s="32">
        <f t="shared" si="6"/>
        <v>2500</v>
      </c>
      <c r="M55" s="1"/>
      <c r="N55" s="25">
        <f t="shared" ref="N55:O55" si="67">I55</f>
        <v>500</v>
      </c>
      <c r="O55" s="25">
        <f t="shared" si="67"/>
        <v>3000</v>
      </c>
      <c r="P55" s="25">
        <f t="shared" ref="P55:Q55" si="68">N55</f>
        <v>500</v>
      </c>
      <c r="Q55" s="25">
        <f t="shared" si="68"/>
        <v>3000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 t="s">
        <v>385</v>
      </c>
      <c r="B56" s="1">
        <f t="shared" si="3"/>
        <v>49</v>
      </c>
      <c r="C56" s="1">
        <f t="shared" si="4"/>
        <v>2</v>
      </c>
      <c r="D56" s="1" t="s">
        <v>464</v>
      </c>
      <c r="E56" s="1" t="s">
        <v>386</v>
      </c>
      <c r="F56" s="1" t="s">
        <v>386</v>
      </c>
      <c r="G56" s="1" t="s">
        <v>465</v>
      </c>
      <c r="H56" s="1"/>
      <c r="I56" s="25">
        <v>1000.0</v>
      </c>
      <c r="J56" s="25">
        <v>3000.0</v>
      </c>
      <c r="K56" s="5">
        <f t="shared" si="5"/>
        <v>66.66666667</v>
      </c>
      <c r="L56" s="25">
        <f t="shared" si="6"/>
        <v>2000</v>
      </c>
      <c r="M56" s="1"/>
      <c r="N56" s="25">
        <v>1000.0</v>
      </c>
      <c r="O56" s="25">
        <v>3000.0</v>
      </c>
      <c r="P56" s="25">
        <f t="shared" ref="P56:Q56" si="69">N56</f>
        <v>1000</v>
      </c>
      <c r="Q56" s="25">
        <f t="shared" si="69"/>
        <v>3000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 t="s">
        <v>385</v>
      </c>
      <c r="B57" s="1">
        <f t="shared" si="3"/>
        <v>50</v>
      </c>
      <c r="C57" s="1">
        <f t="shared" si="4"/>
        <v>2</v>
      </c>
      <c r="D57" s="1" t="s">
        <v>37</v>
      </c>
      <c r="E57" s="1" t="s">
        <v>386</v>
      </c>
      <c r="F57" s="1" t="s">
        <v>386</v>
      </c>
      <c r="G57" s="1" t="s">
        <v>466</v>
      </c>
      <c r="H57" s="1"/>
      <c r="I57" s="25">
        <v>6000.0</v>
      </c>
      <c r="J57" s="25">
        <v>10000.0</v>
      </c>
      <c r="K57" s="5">
        <f t="shared" si="5"/>
        <v>40</v>
      </c>
      <c r="L57" s="25">
        <f t="shared" si="6"/>
        <v>4000</v>
      </c>
      <c r="M57" s="1" t="s">
        <v>393</v>
      </c>
      <c r="N57" s="25">
        <v>6000.0</v>
      </c>
      <c r="O57" s="25">
        <v>10000.0</v>
      </c>
      <c r="P57" s="25">
        <f t="shared" ref="P57:Q57" si="70">N57</f>
        <v>6000</v>
      </c>
      <c r="Q57" s="25">
        <f t="shared" si="70"/>
        <v>10000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 t="s">
        <v>385</v>
      </c>
      <c r="B58" s="1">
        <f t="shared" si="3"/>
        <v>51</v>
      </c>
      <c r="C58" s="1">
        <f t="shared" si="4"/>
        <v>2</v>
      </c>
      <c r="D58" s="1" t="s">
        <v>467</v>
      </c>
      <c r="E58" s="1" t="s">
        <v>386</v>
      </c>
      <c r="F58" s="1" t="s">
        <v>386</v>
      </c>
      <c r="G58" s="1" t="s">
        <v>468</v>
      </c>
      <c r="H58" s="1"/>
      <c r="I58" s="25">
        <v>6000.0</v>
      </c>
      <c r="J58" s="25">
        <v>10000.0</v>
      </c>
      <c r="K58" s="5">
        <f t="shared" si="5"/>
        <v>40</v>
      </c>
      <c r="L58" s="25">
        <f t="shared" si="6"/>
        <v>4000</v>
      </c>
      <c r="M58" s="1"/>
      <c r="N58" s="25">
        <v>6000.0</v>
      </c>
      <c r="O58" s="25">
        <v>10000.0</v>
      </c>
      <c r="P58" s="25">
        <f t="shared" ref="P58:Q58" si="71">N58</f>
        <v>6000</v>
      </c>
      <c r="Q58" s="25">
        <f t="shared" si="71"/>
        <v>10000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 t="s">
        <v>385</v>
      </c>
      <c r="B59" s="1">
        <f t="shared" si="3"/>
        <v>52</v>
      </c>
      <c r="C59" s="1">
        <f t="shared" si="4"/>
        <v>2</v>
      </c>
      <c r="D59" s="1" t="s">
        <v>100</v>
      </c>
      <c r="E59" s="1" t="s">
        <v>386</v>
      </c>
      <c r="F59" s="1" t="s">
        <v>386</v>
      </c>
      <c r="G59" s="1" t="s">
        <v>469</v>
      </c>
      <c r="H59" s="1"/>
      <c r="I59" s="25">
        <f>6000/5</f>
        <v>1200</v>
      </c>
      <c r="J59" s="25">
        <v>3000.0</v>
      </c>
      <c r="K59" s="31">
        <f t="shared" si="5"/>
        <v>60</v>
      </c>
      <c r="L59" s="32">
        <f t="shared" si="6"/>
        <v>1800</v>
      </c>
      <c r="M59" s="1"/>
      <c r="N59" s="25">
        <f t="shared" ref="N59:O59" si="72">I59</f>
        <v>1200</v>
      </c>
      <c r="O59" s="25">
        <f t="shared" si="72"/>
        <v>3000</v>
      </c>
      <c r="P59" s="25">
        <f t="shared" ref="P59:Q59" si="73">N59</f>
        <v>1200</v>
      </c>
      <c r="Q59" s="25">
        <f t="shared" si="73"/>
        <v>3000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 t="s">
        <v>385</v>
      </c>
      <c r="B60" s="1">
        <f t="shared" si="3"/>
        <v>53</v>
      </c>
      <c r="C60" s="1">
        <f t="shared" si="4"/>
        <v>2</v>
      </c>
      <c r="D60" s="1" t="s">
        <v>34</v>
      </c>
      <c r="E60" s="1" t="s">
        <v>386</v>
      </c>
      <c r="F60" s="1" t="s">
        <v>386</v>
      </c>
      <c r="G60" s="1" t="s">
        <v>470</v>
      </c>
      <c r="H60" s="1"/>
      <c r="I60" s="25">
        <v>15000.0</v>
      </c>
      <c r="J60" s="25">
        <v>25000.0</v>
      </c>
      <c r="K60" s="5">
        <f t="shared" si="5"/>
        <v>40</v>
      </c>
      <c r="L60" s="25">
        <f t="shared" si="6"/>
        <v>10000</v>
      </c>
      <c r="M60" s="1" t="s">
        <v>393</v>
      </c>
      <c r="N60" s="25">
        <v>15000.0</v>
      </c>
      <c r="O60" s="25">
        <v>25000.0</v>
      </c>
      <c r="P60" s="25">
        <f t="shared" ref="P60:Q60" si="74">N60</f>
        <v>15000</v>
      </c>
      <c r="Q60" s="25">
        <f t="shared" si="74"/>
        <v>25000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 t="s">
        <v>471</v>
      </c>
      <c r="B61" s="1">
        <f t="shared" si="3"/>
        <v>1</v>
      </c>
      <c r="C61" s="1">
        <f t="shared" si="4"/>
        <v>3</v>
      </c>
      <c r="D61" s="1" t="s">
        <v>472</v>
      </c>
      <c r="E61" s="1" t="s">
        <v>473</v>
      </c>
      <c r="F61" s="1" t="s">
        <v>474</v>
      </c>
      <c r="G61" s="1" t="s">
        <v>475</v>
      </c>
      <c r="H61" s="1"/>
      <c r="I61" s="25">
        <v>176500.0</v>
      </c>
      <c r="J61" s="25">
        <v>250000.0</v>
      </c>
      <c r="K61" s="31">
        <f t="shared" si="5"/>
        <v>29.4</v>
      </c>
      <c r="L61" s="32">
        <f t="shared" si="6"/>
        <v>73500</v>
      </c>
      <c r="M61" s="1" t="s">
        <v>381</v>
      </c>
      <c r="N61" s="25">
        <v>176500.0</v>
      </c>
      <c r="O61" s="25">
        <v>250000.0</v>
      </c>
      <c r="P61" s="25">
        <f t="shared" ref="P61:Q61" si="75">N61</f>
        <v>176500</v>
      </c>
      <c r="Q61" s="25">
        <f t="shared" si="75"/>
        <v>250000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 t="s">
        <v>471</v>
      </c>
      <c r="B62" s="1">
        <f t="shared" si="3"/>
        <v>2</v>
      </c>
      <c r="C62" s="1">
        <f t="shared" si="4"/>
        <v>3</v>
      </c>
      <c r="D62" s="1" t="s">
        <v>476</v>
      </c>
      <c r="E62" s="1" t="s">
        <v>473</v>
      </c>
      <c r="F62" s="1" t="s">
        <v>474</v>
      </c>
      <c r="G62" s="1" t="s">
        <v>477</v>
      </c>
      <c r="H62" s="1"/>
      <c r="I62" s="25">
        <v>212000.0</v>
      </c>
      <c r="J62" s="25">
        <v>265000.0</v>
      </c>
      <c r="K62" s="5">
        <f t="shared" si="5"/>
        <v>20</v>
      </c>
      <c r="L62" s="25">
        <f t="shared" si="6"/>
        <v>53000</v>
      </c>
      <c r="M62" s="1" t="s">
        <v>381</v>
      </c>
      <c r="N62" s="25">
        <v>212000.0</v>
      </c>
      <c r="O62" s="25">
        <v>265000.0</v>
      </c>
      <c r="P62" s="1">
        <v>235000.0</v>
      </c>
      <c r="Q62" s="25">
        <f t="shared" ref="Q62:Q63" si="76">O62</f>
        <v>265000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 t="s">
        <v>471</v>
      </c>
      <c r="B63" s="1">
        <f t="shared" si="3"/>
        <v>3</v>
      </c>
      <c r="C63" s="1">
        <f t="shared" si="4"/>
        <v>3</v>
      </c>
      <c r="D63" s="1" t="s">
        <v>478</v>
      </c>
      <c r="E63" s="1" t="s">
        <v>473</v>
      </c>
      <c r="F63" s="1" t="s">
        <v>479</v>
      </c>
      <c r="G63" s="1" t="s">
        <v>480</v>
      </c>
      <c r="H63" s="1"/>
      <c r="I63" s="25">
        <v>214500.0</v>
      </c>
      <c r="J63" s="25">
        <v>265000.0</v>
      </c>
      <c r="K63" s="5">
        <f t="shared" si="5"/>
        <v>19.05660377</v>
      </c>
      <c r="L63" s="25">
        <f t="shared" si="6"/>
        <v>50500</v>
      </c>
      <c r="M63" s="1" t="s">
        <v>381</v>
      </c>
      <c r="N63" s="25">
        <v>214500.0</v>
      </c>
      <c r="O63" s="25">
        <v>265000.0</v>
      </c>
      <c r="P63" s="1">
        <v>235000.0</v>
      </c>
      <c r="Q63" s="25">
        <f t="shared" si="76"/>
        <v>265000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 t="s">
        <v>471</v>
      </c>
      <c r="B64" s="1">
        <f t="shared" si="3"/>
        <v>4</v>
      </c>
      <c r="C64" s="1">
        <f t="shared" si="4"/>
        <v>3</v>
      </c>
      <c r="D64" s="1" t="s">
        <v>481</v>
      </c>
      <c r="E64" s="1" t="s">
        <v>473</v>
      </c>
      <c r="F64" s="1" t="s">
        <v>479</v>
      </c>
      <c r="G64" s="1" t="s">
        <v>482</v>
      </c>
      <c r="H64" s="1"/>
      <c r="I64" s="25">
        <v>38500.0</v>
      </c>
      <c r="J64" s="25">
        <v>65000.0</v>
      </c>
      <c r="K64" s="5">
        <f t="shared" si="5"/>
        <v>40.76923077</v>
      </c>
      <c r="L64" s="25">
        <f t="shared" si="6"/>
        <v>26500</v>
      </c>
      <c r="M64" s="1" t="s">
        <v>381</v>
      </c>
      <c r="N64" s="25">
        <v>38500.0</v>
      </c>
      <c r="O64" s="25">
        <v>65000.0</v>
      </c>
      <c r="P64" s="25">
        <f t="shared" ref="P64:Q64" si="77">N64</f>
        <v>38500</v>
      </c>
      <c r="Q64" s="25">
        <f t="shared" si="77"/>
        <v>65000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 t="s">
        <v>471</v>
      </c>
      <c r="B65" s="1">
        <f t="shared" si="3"/>
        <v>5</v>
      </c>
      <c r="C65" s="1">
        <f t="shared" si="4"/>
        <v>3</v>
      </c>
      <c r="D65" s="1" t="s">
        <v>483</v>
      </c>
      <c r="E65" s="1" t="s">
        <v>473</v>
      </c>
      <c r="F65" s="1" t="s">
        <v>479</v>
      </c>
      <c r="G65" s="1" t="s">
        <v>484</v>
      </c>
      <c r="H65" s="1"/>
      <c r="I65" s="25">
        <v>60500.0</v>
      </c>
      <c r="J65" s="25">
        <v>85000.0</v>
      </c>
      <c r="K65" s="5">
        <f t="shared" si="5"/>
        <v>28.82352941</v>
      </c>
      <c r="L65" s="25">
        <f t="shared" si="6"/>
        <v>24500</v>
      </c>
      <c r="M65" s="1" t="s">
        <v>381</v>
      </c>
      <c r="N65" s="25">
        <v>60500.0</v>
      </c>
      <c r="O65" s="25">
        <v>85000.0</v>
      </c>
      <c r="P65" s="25">
        <f t="shared" ref="P65:Q65" si="78">N65</f>
        <v>60500</v>
      </c>
      <c r="Q65" s="25">
        <f t="shared" si="78"/>
        <v>85000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 t="s">
        <v>471</v>
      </c>
      <c r="B66" s="1">
        <f t="shared" si="3"/>
        <v>6</v>
      </c>
      <c r="C66" s="1">
        <f t="shared" si="4"/>
        <v>3</v>
      </c>
      <c r="D66" s="1" t="s">
        <v>485</v>
      </c>
      <c r="E66" s="1" t="s">
        <v>473</v>
      </c>
      <c r="F66" s="1" t="s">
        <v>479</v>
      </c>
      <c r="G66" s="1" t="s">
        <v>486</v>
      </c>
      <c r="H66" s="1"/>
      <c r="I66" s="25">
        <v>10000.0</v>
      </c>
      <c r="J66" s="25">
        <v>20000.0</v>
      </c>
      <c r="K66" s="5">
        <f t="shared" si="5"/>
        <v>50</v>
      </c>
      <c r="L66" s="25">
        <f t="shared" si="6"/>
        <v>10000</v>
      </c>
      <c r="M66" s="1" t="s">
        <v>381</v>
      </c>
      <c r="N66" s="25">
        <v>10000.0</v>
      </c>
      <c r="O66" s="25">
        <v>20000.0</v>
      </c>
      <c r="P66" s="25">
        <f t="shared" ref="P66:Q66" si="79">N66</f>
        <v>10000</v>
      </c>
      <c r="Q66" s="25">
        <f t="shared" si="79"/>
        <v>20000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 t="s">
        <v>471</v>
      </c>
      <c r="B67" s="1">
        <f t="shared" si="3"/>
        <v>7</v>
      </c>
      <c r="C67" s="1">
        <f t="shared" si="4"/>
        <v>3</v>
      </c>
      <c r="D67" s="1" t="s">
        <v>487</v>
      </c>
      <c r="E67" s="1" t="s">
        <v>473</v>
      </c>
      <c r="F67" s="1" t="s">
        <v>479</v>
      </c>
      <c r="G67" s="1" t="s">
        <v>488</v>
      </c>
      <c r="H67" s="1"/>
      <c r="I67" s="25">
        <v>20000.0</v>
      </c>
      <c r="J67" s="25">
        <v>35000.0</v>
      </c>
      <c r="K67" s="5">
        <f t="shared" si="5"/>
        <v>42.85714286</v>
      </c>
      <c r="L67" s="25">
        <f t="shared" si="6"/>
        <v>15000</v>
      </c>
      <c r="M67" s="1" t="s">
        <v>381</v>
      </c>
      <c r="N67" s="25">
        <v>20000.0</v>
      </c>
      <c r="O67" s="25">
        <v>35000.0</v>
      </c>
      <c r="P67" s="25">
        <f t="shared" ref="P67:Q67" si="80">N67</f>
        <v>20000</v>
      </c>
      <c r="Q67" s="25">
        <f t="shared" si="80"/>
        <v>35000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 t="s">
        <v>471</v>
      </c>
      <c r="B68" s="1">
        <f t="shared" si="3"/>
        <v>8</v>
      </c>
      <c r="C68" s="1">
        <f t="shared" si="4"/>
        <v>3</v>
      </c>
      <c r="D68" s="1" t="s">
        <v>163</v>
      </c>
      <c r="E68" s="1" t="s">
        <v>473</v>
      </c>
      <c r="F68" s="1" t="s">
        <v>479</v>
      </c>
      <c r="G68" s="1" t="s">
        <v>489</v>
      </c>
      <c r="H68" s="1"/>
      <c r="I68" s="25">
        <v>105104.0</v>
      </c>
      <c r="J68" s="25">
        <v>125000.0</v>
      </c>
      <c r="K68" s="5">
        <f t="shared" si="5"/>
        <v>15.9168</v>
      </c>
      <c r="L68" s="25">
        <f t="shared" si="6"/>
        <v>19896</v>
      </c>
      <c r="M68" s="1" t="s">
        <v>381</v>
      </c>
      <c r="N68" s="25">
        <v>105104.0</v>
      </c>
      <c r="O68" s="1">
        <v>135000.0</v>
      </c>
      <c r="P68" s="25">
        <f t="shared" ref="P68:Q68" si="81">N68</f>
        <v>105104</v>
      </c>
      <c r="Q68" s="1">
        <f t="shared" si="81"/>
        <v>135000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 t="s">
        <v>471</v>
      </c>
      <c r="B69" s="1">
        <f t="shared" si="3"/>
        <v>9</v>
      </c>
      <c r="C69" s="1">
        <f t="shared" si="4"/>
        <v>3</v>
      </c>
      <c r="D69" s="1" t="s">
        <v>277</v>
      </c>
      <c r="E69" s="1" t="s">
        <v>473</v>
      </c>
      <c r="F69" s="1" t="s">
        <v>479</v>
      </c>
      <c r="G69" s="1" t="s">
        <v>490</v>
      </c>
      <c r="H69" s="1"/>
      <c r="I69" s="25">
        <v>16000.0</v>
      </c>
      <c r="J69" s="25">
        <v>45000.0</v>
      </c>
      <c r="K69" s="5">
        <f t="shared" si="5"/>
        <v>64.44444444</v>
      </c>
      <c r="L69" s="25">
        <f t="shared" si="6"/>
        <v>29000</v>
      </c>
      <c r="M69" s="1" t="s">
        <v>381</v>
      </c>
      <c r="N69" s="25">
        <v>16000.0</v>
      </c>
      <c r="O69" s="25">
        <v>45000.0</v>
      </c>
      <c r="P69" s="25">
        <f t="shared" ref="P69:Q69" si="82">N69</f>
        <v>16000</v>
      </c>
      <c r="Q69" s="25">
        <f t="shared" si="82"/>
        <v>45000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 t="s">
        <v>471</v>
      </c>
      <c r="B70" s="1">
        <f t="shared" si="3"/>
        <v>10</v>
      </c>
      <c r="C70" s="1">
        <f t="shared" si="4"/>
        <v>3</v>
      </c>
      <c r="D70" s="1" t="s">
        <v>170</v>
      </c>
      <c r="E70" s="1" t="s">
        <v>473</v>
      </c>
      <c r="F70" s="1" t="s">
        <v>479</v>
      </c>
      <c r="G70" s="1" t="s">
        <v>491</v>
      </c>
      <c r="H70" s="1"/>
      <c r="I70" s="25">
        <v>48500.0</v>
      </c>
      <c r="J70" s="25">
        <v>70000.0</v>
      </c>
      <c r="K70" s="5">
        <f t="shared" si="5"/>
        <v>30.71428571</v>
      </c>
      <c r="L70" s="25">
        <f t="shared" si="6"/>
        <v>21500</v>
      </c>
      <c r="M70" s="1" t="s">
        <v>381</v>
      </c>
      <c r="N70" s="25">
        <v>48500.0</v>
      </c>
      <c r="O70" s="25">
        <v>70000.0</v>
      </c>
      <c r="P70" s="25">
        <f t="shared" ref="P70:Q70" si="83">N70</f>
        <v>48500</v>
      </c>
      <c r="Q70" s="25">
        <f t="shared" si="83"/>
        <v>70000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 t="s">
        <v>471</v>
      </c>
      <c r="B71" s="1">
        <f t="shared" si="3"/>
        <v>11</v>
      </c>
      <c r="C71" s="1">
        <f t="shared" si="4"/>
        <v>3</v>
      </c>
      <c r="D71" s="1" t="s">
        <v>492</v>
      </c>
      <c r="E71" s="1" t="s">
        <v>473</v>
      </c>
      <c r="F71" s="1" t="s">
        <v>479</v>
      </c>
      <c r="G71" s="1" t="s">
        <v>493</v>
      </c>
      <c r="H71" s="1"/>
      <c r="I71" s="25">
        <v>50000.0</v>
      </c>
      <c r="J71" s="25">
        <v>60000.0</v>
      </c>
      <c r="K71" s="5">
        <f t="shared" si="5"/>
        <v>16.66666667</v>
      </c>
      <c r="L71" s="25">
        <f t="shared" si="6"/>
        <v>10000</v>
      </c>
      <c r="M71" s="1" t="s">
        <v>381</v>
      </c>
      <c r="N71" s="25">
        <v>50000.0</v>
      </c>
      <c r="O71" s="25">
        <v>60000.0</v>
      </c>
      <c r="P71" s="25">
        <f t="shared" ref="P71:Q71" si="84">N71</f>
        <v>50000</v>
      </c>
      <c r="Q71" s="25">
        <f t="shared" si="84"/>
        <v>60000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 t="s">
        <v>471</v>
      </c>
      <c r="B72" s="1">
        <f t="shared" si="3"/>
        <v>12</v>
      </c>
      <c r="C72" s="1">
        <f t="shared" si="4"/>
        <v>3</v>
      </c>
      <c r="D72" s="1" t="s">
        <v>494</v>
      </c>
      <c r="E72" s="1" t="s">
        <v>473</v>
      </c>
      <c r="F72" s="1" t="s">
        <v>479</v>
      </c>
      <c r="G72" s="1" t="s">
        <v>495</v>
      </c>
      <c r="H72" s="1"/>
      <c r="I72" s="25">
        <v>60000.0</v>
      </c>
      <c r="J72" s="25">
        <v>70000.0</v>
      </c>
      <c r="K72" s="5">
        <f t="shared" si="5"/>
        <v>14.28571429</v>
      </c>
      <c r="L72" s="25">
        <f t="shared" si="6"/>
        <v>10000</v>
      </c>
      <c r="M72" s="1" t="s">
        <v>381</v>
      </c>
      <c r="N72" s="25">
        <v>60000.0</v>
      </c>
      <c r="O72" s="25">
        <v>70000.0</v>
      </c>
      <c r="P72" s="25">
        <f t="shared" ref="P72:Q72" si="85">N72</f>
        <v>60000</v>
      </c>
      <c r="Q72" s="25">
        <f t="shared" si="85"/>
        <v>70000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 t="s">
        <v>471</v>
      </c>
      <c r="B73" s="1">
        <f t="shared" si="3"/>
        <v>13</v>
      </c>
      <c r="C73" s="1">
        <f t="shared" si="4"/>
        <v>3</v>
      </c>
      <c r="D73" s="1" t="s">
        <v>496</v>
      </c>
      <c r="E73" s="1" t="s">
        <v>473</v>
      </c>
      <c r="F73" s="1" t="s">
        <v>479</v>
      </c>
      <c r="G73" s="1" t="s">
        <v>497</v>
      </c>
      <c r="H73" s="1"/>
      <c r="I73" s="25">
        <v>60000.0</v>
      </c>
      <c r="J73" s="25">
        <v>80000.0</v>
      </c>
      <c r="K73" s="5">
        <f t="shared" si="5"/>
        <v>25</v>
      </c>
      <c r="L73" s="25">
        <f t="shared" si="6"/>
        <v>20000</v>
      </c>
      <c r="M73" s="1" t="s">
        <v>381</v>
      </c>
      <c r="N73" s="25">
        <v>60000.0</v>
      </c>
      <c r="O73" s="25">
        <v>80000.0</v>
      </c>
      <c r="P73" s="25">
        <f t="shared" ref="P73:Q73" si="86">N73</f>
        <v>60000</v>
      </c>
      <c r="Q73" s="25">
        <f t="shared" si="86"/>
        <v>80000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 t="s">
        <v>471</v>
      </c>
      <c r="B74" s="1">
        <f t="shared" si="3"/>
        <v>14</v>
      </c>
      <c r="C74" s="1">
        <f t="shared" si="4"/>
        <v>3</v>
      </c>
      <c r="D74" s="1" t="s">
        <v>498</v>
      </c>
      <c r="E74" s="1" t="s">
        <v>473</v>
      </c>
      <c r="F74" s="1" t="s">
        <v>479</v>
      </c>
      <c r="G74" s="1" t="s">
        <v>499</v>
      </c>
      <c r="H74" s="1"/>
      <c r="I74" s="25">
        <v>70000.0</v>
      </c>
      <c r="J74" s="25">
        <v>90000.0</v>
      </c>
      <c r="K74" s="5">
        <f t="shared" si="5"/>
        <v>22.22222222</v>
      </c>
      <c r="L74" s="25">
        <f t="shared" si="6"/>
        <v>20000</v>
      </c>
      <c r="M74" s="1" t="s">
        <v>381</v>
      </c>
      <c r="N74" s="25">
        <v>70000.0</v>
      </c>
      <c r="O74" s="25">
        <v>90000.0</v>
      </c>
      <c r="P74" s="25">
        <f t="shared" ref="P74:Q74" si="87">N74</f>
        <v>70000</v>
      </c>
      <c r="Q74" s="25">
        <f t="shared" si="87"/>
        <v>90000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 t="s">
        <v>471</v>
      </c>
      <c r="B75" s="1">
        <f t="shared" si="3"/>
        <v>15</v>
      </c>
      <c r="C75" s="1">
        <f t="shared" si="4"/>
        <v>3</v>
      </c>
      <c r="D75" s="1" t="s">
        <v>500</v>
      </c>
      <c r="E75" s="1" t="s">
        <v>473</v>
      </c>
      <c r="F75" s="1" t="s">
        <v>479</v>
      </c>
      <c r="G75" s="1" t="s">
        <v>501</v>
      </c>
      <c r="H75" s="1"/>
      <c r="I75" s="25">
        <v>28000.0</v>
      </c>
      <c r="J75" s="25">
        <v>45000.0</v>
      </c>
      <c r="K75" s="5">
        <f t="shared" si="5"/>
        <v>37.77777778</v>
      </c>
      <c r="L75" s="25">
        <f t="shared" si="6"/>
        <v>17000</v>
      </c>
      <c r="M75" s="1"/>
      <c r="N75" s="25">
        <v>28000.0</v>
      </c>
      <c r="O75" s="25">
        <v>45000.0</v>
      </c>
      <c r="P75" s="25">
        <f t="shared" ref="P75:Q75" si="88">N75</f>
        <v>28000</v>
      </c>
      <c r="Q75" s="25">
        <f t="shared" si="88"/>
        <v>45000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 t="s">
        <v>471</v>
      </c>
      <c r="B76" s="1">
        <f t="shared" si="3"/>
        <v>16</v>
      </c>
      <c r="C76" s="1">
        <f t="shared" si="4"/>
        <v>3</v>
      </c>
      <c r="D76" s="1" t="s">
        <v>502</v>
      </c>
      <c r="E76" s="1" t="s">
        <v>473</v>
      </c>
      <c r="F76" s="1" t="s">
        <v>479</v>
      </c>
      <c r="G76" s="1" t="s">
        <v>503</v>
      </c>
      <c r="H76" s="1"/>
      <c r="I76" s="25">
        <v>19600.0</v>
      </c>
      <c r="J76" s="25">
        <v>35000.0</v>
      </c>
      <c r="K76" s="5">
        <f t="shared" si="5"/>
        <v>44</v>
      </c>
      <c r="L76" s="25">
        <f t="shared" si="6"/>
        <v>15400</v>
      </c>
      <c r="M76" s="1"/>
      <c r="N76" s="25">
        <v>19600.0</v>
      </c>
      <c r="O76" s="25">
        <v>35000.0</v>
      </c>
      <c r="P76" s="25">
        <f t="shared" ref="P76:Q76" si="89">N76</f>
        <v>19600</v>
      </c>
      <c r="Q76" s="25">
        <f t="shared" si="89"/>
        <v>35000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 t="s">
        <v>471</v>
      </c>
      <c r="B77" s="1">
        <f t="shared" si="3"/>
        <v>17</v>
      </c>
      <c r="C77" s="1">
        <f t="shared" si="4"/>
        <v>3</v>
      </c>
      <c r="D77" s="1" t="s">
        <v>504</v>
      </c>
      <c r="E77" s="1" t="s">
        <v>473</v>
      </c>
      <c r="F77" s="1" t="s">
        <v>479</v>
      </c>
      <c r="G77" s="1" t="s">
        <v>505</v>
      </c>
      <c r="H77" s="1"/>
      <c r="I77" s="25">
        <v>18000.0</v>
      </c>
      <c r="J77" s="25">
        <v>30000.0</v>
      </c>
      <c r="K77" s="5">
        <f t="shared" si="5"/>
        <v>40</v>
      </c>
      <c r="L77" s="25">
        <f t="shared" si="6"/>
        <v>12000</v>
      </c>
      <c r="M77" s="1" t="s">
        <v>381</v>
      </c>
      <c r="N77" s="25">
        <v>18000.0</v>
      </c>
      <c r="O77" s="25">
        <v>30000.0</v>
      </c>
      <c r="P77" s="25">
        <f t="shared" ref="P77:Q77" si="90">N77</f>
        <v>18000</v>
      </c>
      <c r="Q77" s="25">
        <f t="shared" si="90"/>
        <v>30000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 t="s">
        <v>471</v>
      </c>
      <c r="B78" s="1">
        <f t="shared" si="3"/>
        <v>18</v>
      </c>
      <c r="C78" s="1">
        <f t="shared" si="4"/>
        <v>3</v>
      </c>
      <c r="D78" s="1" t="s">
        <v>506</v>
      </c>
      <c r="E78" s="1" t="s">
        <v>473</v>
      </c>
      <c r="F78" s="1" t="s">
        <v>479</v>
      </c>
      <c r="G78" s="1" t="s">
        <v>507</v>
      </c>
      <c r="H78" s="1"/>
      <c r="I78" s="25">
        <v>20000.0</v>
      </c>
      <c r="J78" s="25">
        <v>35000.0</v>
      </c>
      <c r="K78" s="5">
        <f t="shared" si="5"/>
        <v>42.85714286</v>
      </c>
      <c r="L78" s="25">
        <f t="shared" si="6"/>
        <v>15000</v>
      </c>
      <c r="M78" s="1" t="s">
        <v>381</v>
      </c>
      <c r="N78" s="25">
        <v>20000.0</v>
      </c>
      <c r="O78" s="25">
        <v>35000.0</v>
      </c>
      <c r="P78" s="25">
        <f t="shared" ref="P78:Q78" si="91">N78</f>
        <v>20000</v>
      </c>
      <c r="Q78" s="25">
        <f t="shared" si="91"/>
        <v>35000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 t="s">
        <v>471</v>
      </c>
      <c r="B79" s="1">
        <f t="shared" si="3"/>
        <v>19</v>
      </c>
      <c r="C79" s="1">
        <f t="shared" si="4"/>
        <v>3</v>
      </c>
      <c r="D79" s="1" t="s">
        <v>508</v>
      </c>
      <c r="E79" s="1" t="s">
        <v>473</v>
      </c>
      <c r="F79" s="1" t="s">
        <v>479</v>
      </c>
      <c r="G79" s="1" t="s">
        <v>509</v>
      </c>
      <c r="H79" s="1"/>
      <c r="I79" s="25">
        <v>32000.0</v>
      </c>
      <c r="J79" s="25">
        <v>65000.0</v>
      </c>
      <c r="K79" s="5">
        <f t="shared" si="5"/>
        <v>50.76923077</v>
      </c>
      <c r="L79" s="25">
        <f t="shared" si="6"/>
        <v>33000</v>
      </c>
      <c r="M79" s="1" t="s">
        <v>381</v>
      </c>
      <c r="N79" s="25">
        <v>32000.0</v>
      </c>
      <c r="O79" s="25">
        <v>65000.0</v>
      </c>
      <c r="P79" s="25">
        <f t="shared" ref="P79:Q79" si="92">N79</f>
        <v>32000</v>
      </c>
      <c r="Q79" s="25">
        <f t="shared" si="92"/>
        <v>65000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 t="s">
        <v>471</v>
      </c>
      <c r="B80" s="1">
        <f t="shared" si="3"/>
        <v>20</v>
      </c>
      <c r="C80" s="1">
        <f t="shared" si="4"/>
        <v>3</v>
      </c>
      <c r="D80" s="1" t="s">
        <v>510</v>
      </c>
      <c r="E80" s="1" t="s">
        <v>473</v>
      </c>
      <c r="F80" s="1" t="s">
        <v>479</v>
      </c>
      <c r="G80" s="1" t="s">
        <v>511</v>
      </c>
      <c r="H80" s="1"/>
      <c r="I80" s="25">
        <v>80000.0</v>
      </c>
      <c r="J80" s="25">
        <v>100000.0</v>
      </c>
      <c r="K80" s="31">
        <f t="shared" si="5"/>
        <v>20</v>
      </c>
      <c r="L80" s="32">
        <f t="shared" si="6"/>
        <v>20000</v>
      </c>
      <c r="M80" s="1" t="s">
        <v>451</v>
      </c>
      <c r="N80" s="25">
        <f t="shared" ref="N80:O80" si="93">I80</f>
        <v>80000</v>
      </c>
      <c r="O80" s="25">
        <f t="shared" si="93"/>
        <v>100000</v>
      </c>
      <c r="P80" s="25">
        <f t="shared" ref="P80:Q80" si="94">N80</f>
        <v>80000</v>
      </c>
      <c r="Q80" s="25">
        <f t="shared" si="94"/>
        <v>100000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 t="s">
        <v>471</v>
      </c>
      <c r="B81" s="1">
        <f t="shared" si="3"/>
        <v>21</v>
      </c>
      <c r="C81" s="1">
        <f t="shared" si="4"/>
        <v>3</v>
      </c>
      <c r="D81" s="1" t="s">
        <v>512</v>
      </c>
      <c r="E81" s="1" t="s">
        <v>473</v>
      </c>
      <c r="F81" s="1" t="s">
        <v>479</v>
      </c>
      <c r="G81" s="1" t="s">
        <v>513</v>
      </c>
      <c r="H81" s="1"/>
      <c r="I81" s="25">
        <v>80000.0</v>
      </c>
      <c r="J81" s="25">
        <v>100000.0</v>
      </c>
      <c r="K81" s="31">
        <f t="shared" si="5"/>
        <v>20</v>
      </c>
      <c r="L81" s="32">
        <f t="shared" si="6"/>
        <v>20000</v>
      </c>
      <c r="M81" s="1" t="s">
        <v>451</v>
      </c>
      <c r="N81" s="25">
        <f t="shared" ref="N81:O81" si="95">I81</f>
        <v>80000</v>
      </c>
      <c r="O81" s="25">
        <f t="shared" si="95"/>
        <v>100000</v>
      </c>
      <c r="P81" s="25">
        <f t="shared" ref="P81:Q81" si="96">N81</f>
        <v>80000</v>
      </c>
      <c r="Q81" s="25">
        <f t="shared" si="96"/>
        <v>100000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 t="s">
        <v>471</v>
      </c>
      <c r="B82" s="1">
        <f t="shared" si="3"/>
        <v>22</v>
      </c>
      <c r="C82" s="1">
        <f t="shared" si="4"/>
        <v>3</v>
      </c>
      <c r="D82" s="1" t="s">
        <v>151</v>
      </c>
      <c r="E82" s="1" t="s">
        <v>473</v>
      </c>
      <c r="F82" s="1" t="s">
        <v>479</v>
      </c>
      <c r="G82" s="1" t="s">
        <v>514</v>
      </c>
      <c r="H82" s="33"/>
      <c r="I82" s="32">
        <v>30000.0</v>
      </c>
      <c r="J82" s="32">
        <v>65000.0</v>
      </c>
      <c r="K82" s="31">
        <f t="shared" si="5"/>
        <v>53.84615385</v>
      </c>
      <c r="L82" s="32">
        <f t="shared" si="6"/>
        <v>35000</v>
      </c>
      <c r="M82" s="1" t="s">
        <v>381</v>
      </c>
      <c r="N82" s="25">
        <f t="shared" ref="N82:O82" si="97">I82</f>
        <v>30000</v>
      </c>
      <c r="O82" s="25">
        <f t="shared" si="97"/>
        <v>65000</v>
      </c>
      <c r="P82" s="25">
        <f t="shared" ref="P82:Q82" si="98">N82</f>
        <v>30000</v>
      </c>
      <c r="Q82" s="25">
        <f t="shared" si="98"/>
        <v>65000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 t="s">
        <v>471</v>
      </c>
      <c r="B83" s="1">
        <f t="shared" si="3"/>
        <v>23</v>
      </c>
      <c r="C83" s="1">
        <f t="shared" si="4"/>
        <v>3</v>
      </c>
      <c r="D83" s="1" t="s">
        <v>515</v>
      </c>
      <c r="E83" s="1" t="s">
        <v>473</v>
      </c>
      <c r="F83" s="1" t="s">
        <v>516</v>
      </c>
      <c r="G83" s="1" t="s">
        <v>517</v>
      </c>
      <c r="H83" s="1"/>
      <c r="I83" s="25">
        <v>122000.0</v>
      </c>
      <c r="J83" s="25">
        <v>140000.0</v>
      </c>
      <c r="K83" s="5">
        <f t="shared" si="5"/>
        <v>12.85714286</v>
      </c>
      <c r="L83" s="25">
        <f t="shared" si="6"/>
        <v>18000</v>
      </c>
      <c r="M83" s="1" t="s">
        <v>451</v>
      </c>
      <c r="N83" s="25">
        <v>122000.0</v>
      </c>
      <c r="O83" s="25">
        <v>140000.0</v>
      </c>
      <c r="P83" s="25">
        <f t="shared" ref="P83:Q83" si="99">N83</f>
        <v>122000</v>
      </c>
      <c r="Q83" s="25">
        <f t="shared" si="99"/>
        <v>140000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 t="s">
        <v>471</v>
      </c>
      <c r="B84" s="1">
        <f t="shared" si="3"/>
        <v>24</v>
      </c>
      <c r="C84" s="1">
        <f t="shared" si="4"/>
        <v>3</v>
      </c>
      <c r="D84" s="1" t="s">
        <v>518</v>
      </c>
      <c r="E84" s="1" t="s">
        <v>473</v>
      </c>
      <c r="F84" s="1" t="s">
        <v>516</v>
      </c>
      <c r="G84" s="1" t="s">
        <v>519</v>
      </c>
      <c r="H84" s="1"/>
      <c r="I84" s="25">
        <v>122000.0</v>
      </c>
      <c r="J84" s="25">
        <v>140000.0</v>
      </c>
      <c r="K84" s="5">
        <f t="shared" si="5"/>
        <v>12.85714286</v>
      </c>
      <c r="L84" s="25">
        <f t="shared" si="6"/>
        <v>18000</v>
      </c>
      <c r="M84" s="1" t="s">
        <v>451</v>
      </c>
      <c r="N84" s="25">
        <v>122000.0</v>
      </c>
      <c r="O84" s="25">
        <v>140000.0</v>
      </c>
      <c r="P84" s="25">
        <f t="shared" ref="P84:Q84" si="100">N84</f>
        <v>122000</v>
      </c>
      <c r="Q84" s="25">
        <f t="shared" si="100"/>
        <v>140000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 t="s">
        <v>471</v>
      </c>
      <c r="B85" s="1">
        <f t="shared" si="3"/>
        <v>25</v>
      </c>
      <c r="C85" s="1">
        <f t="shared" si="4"/>
        <v>3</v>
      </c>
      <c r="D85" s="1" t="s">
        <v>520</v>
      </c>
      <c r="E85" s="1" t="s">
        <v>473</v>
      </c>
      <c r="F85" s="1" t="s">
        <v>516</v>
      </c>
      <c r="G85" s="1" t="s">
        <v>521</v>
      </c>
      <c r="H85" s="1"/>
      <c r="I85" s="25">
        <v>122000.0</v>
      </c>
      <c r="J85" s="25">
        <v>140000.0</v>
      </c>
      <c r="K85" s="5">
        <f t="shared" si="5"/>
        <v>12.85714286</v>
      </c>
      <c r="L85" s="25">
        <f t="shared" si="6"/>
        <v>18000</v>
      </c>
      <c r="M85" s="1" t="s">
        <v>451</v>
      </c>
      <c r="N85" s="25">
        <v>122000.0</v>
      </c>
      <c r="O85" s="25">
        <v>140000.0</v>
      </c>
      <c r="P85" s="25">
        <f t="shared" ref="P85:Q85" si="101">N85</f>
        <v>122000</v>
      </c>
      <c r="Q85" s="25">
        <f t="shared" si="101"/>
        <v>140000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 t="s">
        <v>471</v>
      </c>
      <c r="B86" s="1">
        <f t="shared" si="3"/>
        <v>26</v>
      </c>
      <c r="C86" s="1">
        <f t="shared" si="4"/>
        <v>3</v>
      </c>
      <c r="D86" s="1" t="s">
        <v>74</v>
      </c>
      <c r="E86" s="1" t="s">
        <v>473</v>
      </c>
      <c r="F86" s="1" t="s">
        <v>516</v>
      </c>
      <c r="G86" s="1" t="s">
        <v>522</v>
      </c>
      <c r="H86" s="1"/>
      <c r="I86" s="25">
        <v>407.0</v>
      </c>
      <c r="J86" s="25">
        <v>750.0</v>
      </c>
      <c r="K86" s="5">
        <f t="shared" si="5"/>
        <v>45.73333333</v>
      </c>
      <c r="L86" s="25">
        <f t="shared" si="6"/>
        <v>343</v>
      </c>
      <c r="M86" s="1" t="s">
        <v>451</v>
      </c>
      <c r="N86" s="25">
        <v>407.0</v>
      </c>
      <c r="O86" s="25">
        <v>750.0</v>
      </c>
      <c r="P86" s="25">
        <f t="shared" ref="P86:Q86" si="102">N86</f>
        <v>407</v>
      </c>
      <c r="Q86" s="25">
        <f t="shared" si="102"/>
        <v>750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 t="s">
        <v>471</v>
      </c>
      <c r="B87" s="1">
        <f t="shared" si="3"/>
        <v>27</v>
      </c>
      <c r="C87" s="1">
        <f t="shared" si="4"/>
        <v>3</v>
      </c>
      <c r="D87" s="1" t="s">
        <v>523</v>
      </c>
      <c r="E87" s="1" t="s">
        <v>473</v>
      </c>
      <c r="F87" s="1" t="s">
        <v>516</v>
      </c>
      <c r="G87" s="1" t="s">
        <v>524</v>
      </c>
      <c r="H87" s="1"/>
      <c r="I87" s="25">
        <v>122000.0</v>
      </c>
      <c r="J87" s="25">
        <v>140000.0</v>
      </c>
      <c r="K87" s="5">
        <f t="shared" si="5"/>
        <v>12.85714286</v>
      </c>
      <c r="L87" s="25">
        <f t="shared" si="6"/>
        <v>18000</v>
      </c>
      <c r="M87" s="1" t="s">
        <v>451</v>
      </c>
      <c r="N87" s="25">
        <v>122000.0</v>
      </c>
      <c r="O87" s="25">
        <v>140000.0</v>
      </c>
      <c r="P87" s="25">
        <f t="shared" ref="P87:Q87" si="103">N87</f>
        <v>122000</v>
      </c>
      <c r="Q87" s="25">
        <f t="shared" si="103"/>
        <v>140000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 t="s">
        <v>471</v>
      </c>
      <c r="B88" s="1">
        <f t="shared" si="3"/>
        <v>28</v>
      </c>
      <c r="C88" s="1">
        <f t="shared" si="4"/>
        <v>3</v>
      </c>
      <c r="D88" s="1" t="s">
        <v>29</v>
      </c>
      <c r="E88" s="1" t="s">
        <v>473</v>
      </c>
      <c r="F88" s="1" t="s">
        <v>516</v>
      </c>
      <c r="G88" s="1" t="s">
        <v>525</v>
      </c>
      <c r="H88" s="1"/>
      <c r="I88" s="25">
        <v>1220.0</v>
      </c>
      <c r="J88" s="25">
        <v>2000.0</v>
      </c>
      <c r="K88" s="5">
        <f t="shared" si="5"/>
        <v>39</v>
      </c>
      <c r="L88" s="25">
        <f t="shared" si="6"/>
        <v>780</v>
      </c>
      <c r="M88" s="1" t="s">
        <v>451</v>
      </c>
      <c r="N88" s="25">
        <v>1220.0</v>
      </c>
      <c r="O88" s="25">
        <v>2000.0</v>
      </c>
      <c r="P88" s="25">
        <f t="shared" ref="P88:Q88" si="104">N88</f>
        <v>1220</v>
      </c>
      <c r="Q88" s="25">
        <f t="shared" si="104"/>
        <v>2000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 t="s">
        <v>471</v>
      </c>
      <c r="B89" s="1">
        <f t="shared" si="3"/>
        <v>29</v>
      </c>
      <c r="C89" s="1">
        <f t="shared" si="4"/>
        <v>3</v>
      </c>
      <c r="D89" s="1" t="s">
        <v>526</v>
      </c>
      <c r="E89" s="1" t="s">
        <v>473</v>
      </c>
      <c r="F89" s="1" t="s">
        <v>516</v>
      </c>
      <c r="G89" s="1" t="s">
        <v>527</v>
      </c>
      <c r="H89" s="1"/>
      <c r="I89" s="25">
        <v>122000.0</v>
      </c>
      <c r="J89" s="25">
        <v>140000.0</v>
      </c>
      <c r="K89" s="5">
        <f t="shared" si="5"/>
        <v>12.85714286</v>
      </c>
      <c r="L89" s="25">
        <f t="shared" si="6"/>
        <v>18000</v>
      </c>
      <c r="M89" s="1" t="s">
        <v>451</v>
      </c>
      <c r="N89" s="25">
        <v>122000.0</v>
      </c>
      <c r="O89" s="25">
        <v>140000.0</v>
      </c>
      <c r="P89" s="25">
        <f t="shared" ref="P89:Q89" si="105">N89</f>
        <v>122000</v>
      </c>
      <c r="Q89" s="25">
        <f t="shared" si="105"/>
        <v>140000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 t="s">
        <v>471</v>
      </c>
      <c r="B90" s="1">
        <f t="shared" si="3"/>
        <v>30</v>
      </c>
      <c r="C90" s="1">
        <f t="shared" si="4"/>
        <v>3</v>
      </c>
      <c r="D90" s="1" t="s">
        <v>265</v>
      </c>
      <c r="E90" s="1" t="s">
        <v>473</v>
      </c>
      <c r="F90" s="1" t="s">
        <v>516</v>
      </c>
      <c r="G90" s="1" t="s">
        <v>528</v>
      </c>
      <c r="H90" s="1"/>
      <c r="I90" s="25">
        <v>3050.0</v>
      </c>
      <c r="J90" s="25">
        <v>4500.0</v>
      </c>
      <c r="K90" s="5">
        <f t="shared" si="5"/>
        <v>32.22222222</v>
      </c>
      <c r="L90" s="25">
        <f t="shared" si="6"/>
        <v>1450</v>
      </c>
      <c r="M90" s="1" t="s">
        <v>451</v>
      </c>
      <c r="N90" s="25">
        <v>3050.0</v>
      </c>
      <c r="O90" s="25">
        <v>4500.0</v>
      </c>
      <c r="P90" s="25">
        <f t="shared" ref="P90:Q90" si="106">N90</f>
        <v>3050</v>
      </c>
      <c r="Q90" s="25">
        <f t="shared" si="106"/>
        <v>4500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 t="s">
        <v>471</v>
      </c>
      <c r="B91" s="1">
        <f t="shared" si="3"/>
        <v>31</v>
      </c>
      <c r="C91" s="1">
        <f t="shared" si="4"/>
        <v>3</v>
      </c>
      <c r="D91" s="1" t="s">
        <v>529</v>
      </c>
      <c r="E91" s="1" t="s">
        <v>473</v>
      </c>
      <c r="F91" s="1" t="s">
        <v>516</v>
      </c>
      <c r="G91" s="1" t="s">
        <v>530</v>
      </c>
      <c r="H91" s="1"/>
      <c r="I91" s="25">
        <v>122000.0</v>
      </c>
      <c r="J91" s="25">
        <v>140000.0</v>
      </c>
      <c r="K91" s="5">
        <f t="shared" si="5"/>
        <v>12.85714286</v>
      </c>
      <c r="L91" s="25">
        <f t="shared" si="6"/>
        <v>18000</v>
      </c>
      <c r="M91" s="1" t="s">
        <v>451</v>
      </c>
      <c r="N91" s="25">
        <v>122000.0</v>
      </c>
      <c r="O91" s="25">
        <v>140000.0</v>
      </c>
      <c r="P91" s="25">
        <f t="shared" ref="P91:Q91" si="107">N91</f>
        <v>122000</v>
      </c>
      <c r="Q91" s="25">
        <f t="shared" si="107"/>
        <v>140000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 t="s">
        <v>471</v>
      </c>
      <c r="B92" s="1">
        <f t="shared" si="3"/>
        <v>32</v>
      </c>
      <c r="C92" s="1">
        <f t="shared" si="4"/>
        <v>3</v>
      </c>
      <c r="D92" s="1" t="s">
        <v>122</v>
      </c>
      <c r="E92" s="1" t="s">
        <v>473</v>
      </c>
      <c r="F92" s="1" t="s">
        <v>516</v>
      </c>
      <c r="G92" s="1" t="s">
        <v>531</v>
      </c>
      <c r="H92" s="1"/>
      <c r="I92" s="25">
        <v>6100.0</v>
      </c>
      <c r="J92" s="25">
        <v>7500.0</v>
      </c>
      <c r="K92" s="5">
        <f t="shared" si="5"/>
        <v>18.66666667</v>
      </c>
      <c r="L92" s="25">
        <f t="shared" si="6"/>
        <v>1400</v>
      </c>
      <c r="M92" s="1" t="s">
        <v>451</v>
      </c>
      <c r="N92" s="25">
        <v>6100.0</v>
      </c>
      <c r="O92" s="25">
        <v>7500.0</v>
      </c>
      <c r="P92" s="25">
        <f t="shared" ref="P92:Q92" si="108">N92</f>
        <v>6100</v>
      </c>
      <c r="Q92" s="25">
        <f t="shared" si="108"/>
        <v>7500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 t="s">
        <v>471</v>
      </c>
      <c r="B93" s="1">
        <f t="shared" si="3"/>
        <v>33</v>
      </c>
      <c r="C93" s="1">
        <f t="shared" si="4"/>
        <v>3</v>
      </c>
      <c r="D93" s="1" t="s">
        <v>532</v>
      </c>
      <c r="E93" s="1" t="s">
        <v>473</v>
      </c>
      <c r="F93" s="1" t="s">
        <v>516</v>
      </c>
      <c r="G93" s="1" t="s">
        <v>533</v>
      </c>
      <c r="H93" s="1"/>
      <c r="I93" s="25">
        <v>122000.0</v>
      </c>
      <c r="J93" s="25">
        <v>140000.0</v>
      </c>
      <c r="K93" s="5">
        <f t="shared" si="5"/>
        <v>12.85714286</v>
      </c>
      <c r="L93" s="25">
        <f t="shared" si="6"/>
        <v>18000</v>
      </c>
      <c r="M93" s="1" t="s">
        <v>451</v>
      </c>
      <c r="N93" s="25">
        <v>122000.0</v>
      </c>
      <c r="O93" s="25">
        <v>140000.0</v>
      </c>
      <c r="P93" s="25">
        <f t="shared" ref="P93:Q93" si="109">N93</f>
        <v>122000</v>
      </c>
      <c r="Q93" s="25">
        <f t="shared" si="109"/>
        <v>140000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 t="s">
        <v>471</v>
      </c>
      <c r="B94" s="1">
        <f t="shared" si="3"/>
        <v>34</v>
      </c>
      <c r="C94" s="1">
        <f t="shared" si="4"/>
        <v>3</v>
      </c>
      <c r="D94" s="1" t="s">
        <v>534</v>
      </c>
      <c r="E94" s="1" t="s">
        <v>473</v>
      </c>
      <c r="F94" s="1" t="s">
        <v>516</v>
      </c>
      <c r="G94" s="1" t="s">
        <v>535</v>
      </c>
      <c r="H94" s="1"/>
      <c r="I94" s="25">
        <v>10167.0</v>
      </c>
      <c r="J94" s="25">
        <v>11500.0</v>
      </c>
      <c r="K94" s="5">
        <f t="shared" si="5"/>
        <v>11.59130435</v>
      </c>
      <c r="L94" s="25">
        <f t="shared" si="6"/>
        <v>1333</v>
      </c>
      <c r="M94" s="1" t="s">
        <v>451</v>
      </c>
      <c r="N94" s="25">
        <v>10167.0</v>
      </c>
      <c r="O94" s="25">
        <v>11500.0</v>
      </c>
      <c r="P94" s="25">
        <f t="shared" ref="P94:Q94" si="110">N94</f>
        <v>10167</v>
      </c>
      <c r="Q94" s="25">
        <f t="shared" si="110"/>
        <v>11500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 t="s">
        <v>471</v>
      </c>
      <c r="B95" s="1">
        <f t="shared" si="3"/>
        <v>35</v>
      </c>
      <c r="C95" s="1">
        <f t="shared" si="4"/>
        <v>3</v>
      </c>
      <c r="D95" s="1" t="s">
        <v>536</v>
      </c>
      <c r="E95" s="1" t="s">
        <v>473</v>
      </c>
      <c r="F95" s="1" t="s">
        <v>516</v>
      </c>
      <c r="G95" s="1" t="s">
        <v>537</v>
      </c>
      <c r="H95" s="1"/>
      <c r="I95" s="25">
        <v>122000.0</v>
      </c>
      <c r="J95" s="25">
        <v>140000.0</v>
      </c>
      <c r="K95" s="5">
        <f t="shared" si="5"/>
        <v>12.85714286</v>
      </c>
      <c r="L95" s="25">
        <f t="shared" si="6"/>
        <v>18000</v>
      </c>
      <c r="M95" s="1" t="s">
        <v>451</v>
      </c>
      <c r="N95" s="25">
        <v>122000.0</v>
      </c>
      <c r="O95" s="25">
        <v>140000.0</v>
      </c>
      <c r="P95" s="25">
        <f t="shared" ref="P95:Q95" si="111">N95</f>
        <v>122000</v>
      </c>
      <c r="Q95" s="25">
        <f t="shared" si="111"/>
        <v>140000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 t="s">
        <v>471</v>
      </c>
      <c r="B96" s="1">
        <f t="shared" si="3"/>
        <v>36</v>
      </c>
      <c r="C96" s="1">
        <f t="shared" si="4"/>
        <v>3</v>
      </c>
      <c r="D96" s="1" t="s">
        <v>538</v>
      </c>
      <c r="E96" s="1" t="s">
        <v>473</v>
      </c>
      <c r="F96" s="1" t="s">
        <v>516</v>
      </c>
      <c r="G96" s="1" t="s">
        <v>539</v>
      </c>
      <c r="H96" s="1"/>
      <c r="I96" s="25">
        <v>12200.0</v>
      </c>
      <c r="J96" s="25">
        <v>13500.0</v>
      </c>
      <c r="K96" s="5">
        <f t="shared" si="5"/>
        <v>9.62962963</v>
      </c>
      <c r="L96" s="25">
        <f t="shared" si="6"/>
        <v>1300</v>
      </c>
      <c r="M96" s="1" t="s">
        <v>451</v>
      </c>
      <c r="N96" s="25">
        <v>12200.0</v>
      </c>
      <c r="O96" s="25">
        <v>13500.0</v>
      </c>
      <c r="P96" s="25">
        <f t="shared" ref="P96:Q96" si="112">N96</f>
        <v>12200</v>
      </c>
      <c r="Q96" s="25">
        <f t="shared" si="112"/>
        <v>13500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 t="s">
        <v>471</v>
      </c>
      <c r="B97" s="1">
        <f t="shared" si="3"/>
        <v>37</v>
      </c>
      <c r="C97" s="1">
        <f t="shared" si="4"/>
        <v>3</v>
      </c>
      <c r="D97" s="1" t="s">
        <v>250</v>
      </c>
      <c r="E97" s="1" t="s">
        <v>473</v>
      </c>
      <c r="F97" s="1" t="s">
        <v>516</v>
      </c>
      <c r="G97" s="1" t="s">
        <v>540</v>
      </c>
      <c r="H97" s="1"/>
      <c r="I97" s="25">
        <v>85000.0</v>
      </c>
      <c r="J97" s="25">
        <v>95000.0</v>
      </c>
      <c r="K97" s="5">
        <f t="shared" si="5"/>
        <v>10.52631579</v>
      </c>
      <c r="L97" s="25">
        <f t="shared" si="6"/>
        <v>10000</v>
      </c>
      <c r="M97" s="1" t="s">
        <v>451</v>
      </c>
      <c r="N97" s="25">
        <v>85000.0</v>
      </c>
      <c r="O97" s="25">
        <v>95000.0</v>
      </c>
      <c r="P97" s="25">
        <f t="shared" ref="P97:Q97" si="113">N97</f>
        <v>85000</v>
      </c>
      <c r="Q97" s="25">
        <f t="shared" si="113"/>
        <v>95000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 t="s">
        <v>471</v>
      </c>
      <c r="B98" s="1">
        <f t="shared" si="3"/>
        <v>38</v>
      </c>
      <c r="C98" s="1">
        <f t="shared" si="4"/>
        <v>3</v>
      </c>
      <c r="D98" s="1" t="s">
        <v>66</v>
      </c>
      <c r="E98" s="1" t="s">
        <v>473</v>
      </c>
      <c r="F98" s="1" t="s">
        <v>516</v>
      </c>
      <c r="G98" s="1" t="s">
        <v>541</v>
      </c>
      <c r="H98" s="1"/>
      <c r="I98" s="25">
        <v>267.0</v>
      </c>
      <c r="J98" s="25">
        <v>500.0</v>
      </c>
      <c r="K98" s="5">
        <f t="shared" si="5"/>
        <v>46.6</v>
      </c>
      <c r="L98" s="25">
        <f t="shared" si="6"/>
        <v>233</v>
      </c>
      <c r="M98" s="1" t="s">
        <v>451</v>
      </c>
      <c r="N98" s="25">
        <v>267.0</v>
      </c>
      <c r="O98" s="25">
        <v>500.0</v>
      </c>
      <c r="P98" s="25">
        <f t="shared" ref="P98:Q98" si="114">N98</f>
        <v>267</v>
      </c>
      <c r="Q98" s="25">
        <f t="shared" si="114"/>
        <v>500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 t="s">
        <v>471</v>
      </c>
      <c r="B99" s="1">
        <f t="shared" si="3"/>
        <v>39</v>
      </c>
      <c r="C99" s="1">
        <f t="shared" si="4"/>
        <v>3</v>
      </c>
      <c r="D99" s="1" t="s">
        <v>542</v>
      </c>
      <c r="E99" s="1" t="s">
        <v>473</v>
      </c>
      <c r="F99" s="1" t="s">
        <v>516</v>
      </c>
      <c r="G99" s="1" t="s">
        <v>543</v>
      </c>
      <c r="H99" s="1"/>
      <c r="I99" s="25">
        <v>85000.0</v>
      </c>
      <c r="J99" s="25">
        <v>95000.0</v>
      </c>
      <c r="K99" s="5">
        <f t="shared" si="5"/>
        <v>10.52631579</v>
      </c>
      <c r="L99" s="25">
        <f t="shared" si="6"/>
        <v>10000</v>
      </c>
      <c r="M99" s="1" t="s">
        <v>451</v>
      </c>
      <c r="N99" s="25">
        <v>85000.0</v>
      </c>
      <c r="O99" s="25">
        <v>95000.0</v>
      </c>
      <c r="P99" s="25">
        <f t="shared" ref="P99:Q99" si="115">N99</f>
        <v>85000</v>
      </c>
      <c r="Q99" s="25">
        <f t="shared" si="115"/>
        <v>95000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 t="s">
        <v>471</v>
      </c>
      <c r="B100" s="1">
        <f t="shared" si="3"/>
        <v>40</v>
      </c>
      <c r="C100" s="1">
        <f t="shared" si="4"/>
        <v>3</v>
      </c>
      <c r="D100" s="1" t="s">
        <v>33</v>
      </c>
      <c r="E100" s="1" t="s">
        <v>473</v>
      </c>
      <c r="F100" s="1" t="s">
        <v>516</v>
      </c>
      <c r="G100" s="1" t="s">
        <v>544</v>
      </c>
      <c r="H100" s="1"/>
      <c r="I100" s="25">
        <v>444.0</v>
      </c>
      <c r="J100" s="25">
        <v>750.0</v>
      </c>
      <c r="K100" s="5">
        <f t="shared" si="5"/>
        <v>40.8</v>
      </c>
      <c r="L100" s="25">
        <f t="shared" si="6"/>
        <v>306</v>
      </c>
      <c r="M100" s="1" t="s">
        <v>451</v>
      </c>
      <c r="N100" s="25">
        <v>444.0</v>
      </c>
      <c r="O100" s="25">
        <v>750.0</v>
      </c>
      <c r="P100" s="25">
        <f t="shared" ref="P100:Q100" si="116">N100</f>
        <v>444</v>
      </c>
      <c r="Q100" s="25">
        <f t="shared" si="116"/>
        <v>750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 t="s">
        <v>471</v>
      </c>
      <c r="B101" s="1">
        <f t="shared" si="3"/>
        <v>41</v>
      </c>
      <c r="C101" s="1">
        <f t="shared" si="4"/>
        <v>3</v>
      </c>
      <c r="D101" s="1" t="s">
        <v>545</v>
      </c>
      <c r="E101" s="1" t="s">
        <v>473</v>
      </c>
      <c r="F101" s="1" t="s">
        <v>516</v>
      </c>
      <c r="G101" s="1" t="s">
        <v>546</v>
      </c>
      <c r="H101" s="1"/>
      <c r="I101" s="25">
        <v>85000.0</v>
      </c>
      <c r="J101" s="25">
        <v>95000.0</v>
      </c>
      <c r="K101" s="5">
        <f t="shared" si="5"/>
        <v>10.52631579</v>
      </c>
      <c r="L101" s="25">
        <f t="shared" si="6"/>
        <v>10000</v>
      </c>
      <c r="M101" s="1" t="s">
        <v>451</v>
      </c>
      <c r="N101" s="25">
        <v>85000.0</v>
      </c>
      <c r="O101" s="25">
        <v>95000.0</v>
      </c>
      <c r="P101" s="25">
        <f t="shared" ref="P101:Q101" si="117">N101</f>
        <v>85000</v>
      </c>
      <c r="Q101" s="25">
        <f t="shared" si="117"/>
        <v>95000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 t="s">
        <v>471</v>
      </c>
      <c r="B102" s="1">
        <f t="shared" si="3"/>
        <v>42</v>
      </c>
      <c r="C102" s="1">
        <f t="shared" si="4"/>
        <v>3</v>
      </c>
      <c r="D102" s="1" t="s">
        <v>42</v>
      </c>
      <c r="E102" s="1" t="s">
        <v>473</v>
      </c>
      <c r="F102" s="1" t="s">
        <v>516</v>
      </c>
      <c r="G102" s="1" t="s">
        <v>547</v>
      </c>
      <c r="H102" s="1"/>
      <c r="I102" s="25">
        <v>800.0</v>
      </c>
      <c r="J102" s="25">
        <v>1500.0</v>
      </c>
      <c r="K102" s="5">
        <f t="shared" si="5"/>
        <v>46.66666667</v>
      </c>
      <c r="L102" s="25">
        <f t="shared" si="6"/>
        <v>700</v>
      </c>
      <c r="M102" s="1" t="s">
        <v>451</v>
      </c>
      <c r="N102" s="25">
        <v>800.0</v>
      </c>
      <c r="O102" s="25">
        <v>1500.0</v>
      </c>
      <c r="P102" s="25">
        <f t="shared" ref="P102:Q102" si="118">N102</f>
        <v>800</v>
      </c>
      <c r="Q102" s="25">
        <f t="shared" si="118"/>
        <v>1500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 t="s">
        <v>471</v>
      </c>
      <c r="B103" s="1">
        <f t="shared" si="3"/>
        <v>43</v>
      </c>
      <c r="C103" s="1">
        <f t="shared" si="4"/>
        <v>3</v>
      </c>
      <c r="D103" s="1" t="s">
        <v>548</v>
      </c>
      <c r="E103" s="1" t="s">
        <v>473</v>
      </c>
      <c r="F103" s="1" t="s">
        <v>516</v>
      </c>
      <c r="G103" s="1" t="s">
        <v>549</v>
      </c>
      <c r="H103" s="1"/>
      <c r="I103" s="25">
        <v>85000.0</v>
      </c>
      <c r="J103" s="25">
        <v>95000.0</v>
      </c>
      <c r="K103" s="5">
        <f t="shared" si="5"/>
        <v>10.52631579</v>
      </c>
      <c r="L103" s="25">
        <f t="shared" si="6"/>
        <v>10000</v>
      </c>
      <c r="M103" s="1" t="s">
        <v>451</v>
      </c>
      <c r="N103" s="25">
        <v>85000.0</v>
      </c>
      <c r="O103" s="25">
        <v>95000.0</v>
      </c>
      <c r="P103" s="25">
        <f t="shared" ref="P103:Q103" si="119">N103</f>
        <v>85000</v>
      </c>
      <c r="Q103" s="25">
        <f t="shared" si="119"/>
        <v>95000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 t="s">
        <v>471</v>
      </c>
      <c r="B104" s="1">
        <f t="shared" si="3"/>
        <v>44</v>
      </c>
      <c r="C104" s="1">
        <f t="shared" si="4"/>
        <v>3</v>
      </c>
      <c r="D104" s="1" t="s">
        <v>43</v>
      </c>
      <c r="E104" s="1" t="s">
        <v>473</v>
      </c>
      <c r="F104" s="1" t="s">
        <v>516</v>
      </c>
      <c r="G104" s="1" t="s">
        <v>550</v>
      </c>
      <c r="H104" s="1"/>
      <c r="I104" s="25">
        <v>1143.0</v>
      </c>
      <c r="J104" s="25">
        <v>2000.0</v>
      </c>
      <c r="K104" s="5">
        <f t="shared" si="5"/>
        <v>42.85</v>
      </c>
      <c r="L104" s="25">
        <f t="shared" si="6"/>
        <v>857</v>
      </c>
      <c r="M104" s="1" t="s">
        <v>451</v>
      </c>
      <c r="N104" s="25">
        <v>1143.0</v>
      </c>
      <c r="O104" s="25">
        <v>2000.0</v>
      </c>
      <c r="P104" s="25">
        <f t="shared" ref="P104:Q104" si="120">N104</f>
        <v>1143</v>
      </c>
      <c r="Q104" s="25">
        <f t="shared" si="120"/>
        <v>2000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 t="s">
        <v>471</v>
      </c>
      <c r="B105" s="1">
        <f t="shared" si="3"/>
        <v>45</v>
      </c>
      <c r="C105" s="1">
        <f t="shared" si="4"/>
        <v>3</v>
      </c>
      <c r="D105" s="1" t="s">
        <v>212</v>
      </c>
      <c r="E105" s="1" t="s">
        <v>473</v>
      </c>
      <c r="F105" s="1" t="s">
        <v>516</v>
      </c>
      <c r="G105" s="1" t="s">
        <v>551</v>
      </c>
      <c r="H105" s="1"/>
      <c r="I105" s="25">
        <v>85000.0</v>
      </c>
      <c r="J105" s="25">
        <v>95000.0</v>
      </c>
      <c r="K105" s="5">
        <f t="shared" si="5"/>
        <v>10.52631579</v>
      </c>
      <c r="L105" s="25">
        <f t="shared" si="6"/>
        <v>10000</v>
      </c>
      <c r="M105" s="1" t="s">
        <v>451</v>
      </c>
      <c r="N105" s="25">
        <v>85000.0</v>
      </c>
      <c r="O105" s="25">
        <v>95000.0</v>
      </c>
      <c r="P105" s="25">
        <f t="shared" ref="P105:Q105" si="121">N105</f>
        <v>85000</v>
      </c>
      <c r="Q105" s="25">
        <f t="shared" si="121"/>
        <v>95000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 t="s">
        <v>471</v>
      </c>
      <c r="B106" s="1">
        <f t="shared" si="3"/>
        <v>46</v>
      </c>
      <c r="C106" s="1">
        <f t="shared" si="4"/>
        <v>3</v>
      </c>
      <c r="D106" s="1" t="s">
        <v>183</v>
      </c>
      <c r="E106" s="1" t="s">
        <v>473</v>
      </c>
      <c r="F106" s="1" t="s">
        <v>516</v>
      </c>
      <c r="G106" s="1" t="s">
        <v>552</v>
      </c>
      <c r="H106" s="1"/>
      <c r="I106" s="25">
        <v>2000.0</v>
      </c>
      <c r="J106" s="25">
        <v>3000.0</v>
      </c>
      <c r="K106" s="5">
        <f t="shared" si="5"/>
        <v>33.33333333</v>
      </c>
      <c r="L106" s="25">
        <f t="shared" si="6"/>
        <v>1000</v>
      </c>
      <c r="M106" s="1" t="s">
        <v>451</v>
      </c>
      <c r="N106" s="25">
        <v>2000.0</v>
      </c>
      <c r="O106" s="25">
        <v>3000.0</v>
      </c>
      <c r="P106" s="25">
        <f t="shared" ref="P106:Q106" si="122">N106</f>
        <v>2000</v>
      </c>
      <c r="Q106" s="25">
        <f t="shared" si="122"/>
        <v>3000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 t="s">
        <v>471</v>
      </c>
      <c r="B107" s="1">
        <f t="shared" si="3"/>
        <v>47</v>
      </c>
      <c r="C107" s="1">
        <f t="shared" si="4"/>
        <v>3</v>
      </c>
      <c r="D107" s="1" t="s">
        <v>553</v>
      </c>
      <c r="E107" s="1" t="s">
        <v>473</v>
      </c>
      <c r="F107" s="1" t="s">
        <v>516</v>
      </c>
      <c r="G107" s="1" t="s">
        <v>554</v>
      </c>
      <c r="H107" s="1"/>
      <c r="I107" s="25">
        <v>85000.0</v>
      </c>
      <c r="J107" s="25">
        <v>95000.0</v>
      </c>
      <c r="K107" s="5">
        <f t="shared" si="5"/>
        <v>10.52631579</v>
      </c>
      <c r="L107" s="25">
        <f t="shared" si="6"/>
        <v>10000</v>
      </c>
      <c r="M107" s="1" t="s">
        <v>451</v>
      </c>
      <c r="N107" s="25">
        <v>85000.0</v>
      </c>
      <c r="O107" s="25">
        <v>95000.0</v>
      </c>
      <c r="P107" s="25">
        <f t="shared" ref="P107:Q107" si="123">N107</f>
        <v>85000</v>
      </c>
      <c r="Q107" s="25">
        <f t="shared" si="123"/>
        <v>95000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 t="s">
        <v>471</v>
      </c>
      <c r="B108" s="1">
        <f t="shared" si="3"/>
        <v>48</v>
      </c>
      <c r="C108" s="1">
        <f t="shared" si="4"/>
        <v>3</v>
      </c>
      <c r="D108" s="1" t="s">
        <v>555</v>
      </c>
      <c r="E108" s="1" t="s">
        <v>473</v>
      </c>
      <c r="F108" s="1" t="s">
        <v>516</v>
      </c>
      <c r="G108" s="1" t="s">
        <v>556</v>
      </c>
      <c r="H108" s="1"/>
      <c r="I108" s="25">
        <v>2286.0</v>
      </c>
      <c r="J108" s="25">
        <v>4000.0</v>
      </c>
      <c r="K108" s="5">
        <f t="shared" si="5"/>
        <v>42.85</v>
      </c>
      <c r="L108" s="25">
        <f t="shared" si="6"/>
        <v>1714</v>
      </c>
      <c r="M108" s="1" t="s">
        <v>451</v>
      </c>
      <c r="N108" s="25">
        <v>2286.0</v>
      </c>
      <c r="O108" s="25">
        <v>4000.0</v>
      </c>
      <c r="P108" s="25">
        <f t="shared" ref="P108:Q108" si="124">N108</f>
        <v>2286</v>
      </c>
      <c r="Q108" s="25">
        <f t="shared" si="124"/>
        <v>4000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 t="s">
        <v>471</v>
      </c>
      <c r="B109" s="1">
        <f t="shared" si="3"/>
        <v>49</v>
      </c>
      <c r="C109" s="1">
        <f t="shared" si="4"/>
        <v>3</v>
      </c>
      <c r="D109" s="1" t="s">
        <v>557</v>
      </c>
      <c r="E109" s="1" t="s">
        <v>473</v>
      </c>
      <c r="F109" s="1" t="s">
        <v>516</v>
      </c>
      <c r="G109" s="1" t="s">
        <v>558</v>
      </c>
      <c r="H109" s="1"/>
      <c r="I109" s="25">
        <v>85000.0</v>
      </c>
      <c r="J109" s="25">
        <v>95000.0</v>
      </c>
      <c r="K109" s="5">
        <f t="shared" si="5"/>
        <v>10.52631579</v>
      </c>
      <c r="L109" s="25">
        <f t="shared" si="6"/>
        <v>10000</v>
      </c>
      <c r="M109" s="1" t="s">
        <v>451</v>
      </c>
      <c r="N109" s="25">
        <v>85000.0</v>
      </c>
      <c r="O109" s="25">
        <v>95000.0</v>
      </c>
      <c r="P109" s="25">
        <f t="shared" ref="P109:Q109" si="125">N109</f>
        <v>85000</v>
      </c>
      <c r="Q109" s="25">
        <f t="shared" si="125"/>
        <v>95000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 t="s">
        <v>471</v>
      </c>
      <c r="B110" s="1">
        <f t="shared" si="3"/>
        <v>50</v>
      </c>
      <c r="C110" s="1">
        <f t="shared" si="4"/>
        <v>3</v>
      </c>
      <c r="D110" s="1" t="s">
        <v>223</v>
      </c>
      <c r="E110" s="1" t="s">
        <v>473</v>
      </c>
      <c r="F110" s="1" t="s">
        <v>516</v>
      </c>
      <c r="G110" s="1" t="s">
        <v>559</v>
      </c>
      <c r="H110" s="1"/>
      <c r="I110" s="25">
        <v>4000.0</v>
      </c>
      <c r="J110" s="25">
        <v>5000.0</v>
      </c>
      <c r="K110" s="5">
        <f t="shared" si="5"/>
        <v>20</v>
      </c>
      <c r="L110" s="25">
        <f t="shared" si="6"/>
        <v>1000</v>
      </c>
      <c r="M110" s="1" t="s">
        <v>451</v>
      </c>
      <c r="N110" s="25">
        <v>4000.0</v>
      </c>
      <c r="O110" s="25">
        <v>5000.0</v>
      </c>
      <c r="P110" s="25">
        <f t="shared" ref="P110:Q110" si="126">N110</f>
        <v>4000</v>
      </c>
      <c r="Q110" s="25">
        <f t="shared" si="126"/>
        <v>5000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 t="s">
        <v>471</v>
      </c>
      <c r="B111" s="1">
        <f t="shared" si="3"/>
        <v>51</v>
      </c>
      <c r="C111" s="1">
        <f t="shared" si="4"/>
        <v>3</v>
      </c>
      <c r="D111" s="1" t="s">
        <v>560</v>
      </c>
      <c r="E111" s="1" t="s">
        <v>473</v>
      </c>
      <c r="F111" s="1" t="s">
        <v>516</v>
      </c>
      <c r="G111" s="1" t="s">
        <v>561</v>
      </c>
      <c r="H111" s="1"/>
      <c r="I111" s="25">
        <v>85000.0</v>
      </c>
      <c r="J111" s="25">
        <v>95000.0</v>
      </c>
      <c r="K111" s="5">
        <f t="shared" si="5"/>
        <v>10.52631579</v>
      </c>
      <c r="L111" s="25">
        <f t="shared" si="6"/>
        <v>10000</v>
      </c>
      <c r="M111" s="1" t="s">
        <v>451</v>
      </c>
      <c r="N111" s="25">
        <v>85000.0</v>
      </c>
      <c r="O111" s="25">
        <v>95000.0</v>
      </c>
      <c r="P111" s="25">
        <f t="shared" ref="P111:Q111" si="127">N111</f>
        <v>85000</v>
      </c>
      <c r="Q111" s="25">
        <f t="shared" si="127"/>
        <v>95000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 t="s">
        <v>471</v>
      </c>
      <c r="B112" s="1">
        <f t="shared" si="3"/>
        <v>52</v>
      </c>
      <c r="C112" s="1">
        <f t="shared" si="4"/>
        <v>3</v>
      </c>
      <c r="D112" s="1" t="s">
        <v>562</v>
      </c>
      <c r="E112" s="1" t="s">
        <v>473</v>
      </c>
      <c r="F112" s="1" t="s">
        <v>516</v>
      </c>
      <c r="G112" s="1" t="s">
        <v>563</v>
      </c>
      <c r="H112" s="1"/>
      <c r="I112" s="25">
        <v>6667.0</v>
      </c>
      <c r="J112" s="25">
        <v>9000.0</v>
      </c>
      <c r="K112" s="5">
        <f t="shared" si="5"/>
        <v>25.92222222</v>
      </c>
      <c r="L112" s="25">
        <f t="shared" si="6"/>
        <v>2333</v>
      </c>
      <c r="M112" s="1" t="s">
        <v>451</v>
      </c>
      <c r="N112" s="25">
        <v>6667.0</v>
      </c>
      <c r="O112" s="25">
        <v>9000.0</v>
      </c>
      <c r="P112" s="25">
        <f t="shared" ref="P112:Q112" si="128">N112</f>
        <v>6667</v>
      </c>
      <c r="Q112" s="25">
        <f t="shared" si="128"/>
        <v>9000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 t="s">
        <v>471</v>
      </c>
      <c r="B113" s="1">
        <f t="shared" si="3"/>
        <v>53</v>
      </c>
      <c r="C113" s="1">
        <f t="shared" si="4"/>
        <v>3</v>
      </c>
      <c r="D113" s="1" t="s">
        <v>564</v>
      </c>
      <c r="E113" s="1" t="s">
        <v>473</v>
      </c>
      <c r="F113" s="1" t="s">
        <v>516</v>
      </c>
      <c r="G113" s="1" t="s">
        <v>565</v>
      </c>
      <c r="H113" s="1"/>
      <c r="I113" s="25">
        <v>85000.0</v>
      </c>
      <c r="J113" s="25">
        <v>95000.0</v>
      </c>
      <c r="K113" s="5">
        <f t="shared" si="5"/>
        <v>10.52631579</v>
      </c>
      <c r="L113" s="25">
        <f t="shared" si="6"/>
        <v>10000</v>
      </c>
      <c r="M113" s="1" t="s">
        <v>451</v>
      </c>
      <c r="N113" s="25">
        <v>85000.0</v>
      </c>
      <c r="O113" s="25">
        <v>95000.0</v>
      </c>
      <c r="P113" s="25">
        <f t="shared" ref="P113:Q113" si="129">N113</f>
        <v>85000</v>
      </c>
      <c r="Q113" s="25">
        <f t="shared" si="129"/>
        <v>95000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 t="s">
        <v>471</v>
      </c>
      <c r="B114" s="1">
        <f t="shared" si="3"/>
        <v>54</v>
      </c>
      <c r="C114" s="1">
        <f t="shared" si="4"/>
        <v>3</v>
      </c>
      <c r="D114" s="1" t="s">
        <v>324</v>
      </c>
      <c r="E114" s="1" t="s">
        <v>473</v>
      </c>
      <c r="F114" s="1" t="s">
        <v>516</v>
      </c>
      <c r="G114" s="1" t="s">
        <v>566</v>
      </c>
      <c r="H114" s="1"/>
      <c r="I114" s="25">
        <v>8000.0</v>
      </c>
      <c r="J114" s="25">
        <v>10000.0</v>
      </c>
      <c r="K114" s="5">
        <f t="shared" si="5"/>
        <v>20</v>
      </c>
      <c r="L114" s="25">
        <f t="shared" si="6"/>
        <v>2000</v>
      </c>
      <c r="M114" s="1" t="s">
        <v>451</v>
      </c>
      <c r="N114" s="25">
        <v>8000.0</v>
      </c>
      <c r="O114" s="25">
        <v>10000.0</v>
      </c>
      <c r="P114" s="25">
        <f t="shared" ref="P114:Q114" si="130">N114</f>
        <v>8000</v>
      </c>
      <c r="Q114" s="25">
        <f t="shared" si="130"/>
        <v>10000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 t="s">
        <v>471</v>
      </c>
      <c r="B115" s="1">
        <f t="shared" si="3"/>
        <v>55</v>
      </c>
      <c r="C115" s="1">
        <f t="shared" si="4"/>
        <v>3</v>
      </c>
      <c r="D115" s="1" t="s">
        <v>567</v>
      </c>
      <c r="E115" s="1" t="s">
        <v>473</v>
      </c>
      <c r="F115" s="1" t="s">
        <v>568</v>
      </c>
      <c r="G115" s="34" t="s">
        <v>569</v>
      </c>
      <c r="H115" s="1"/>
      <c r="I115" s="25"/>
      <c r="J115" s="25">
        <v>13000.0</v>
      </c>
      <c r="K115" s="31">
        <f t="shared" si="5"/>
        <v>100</v>
      </c>
      <c r="L115" s="32">
        <f t="shared" si="6"/>
        <v>13000</v>
      </c>
      <c r="M115" s="1" t="s">
        <v>451</v>
      </c>
      <c r="N115" s="25" t="str">
        <f t="shared" ref="N115:O115" si="131">I115</f>
        <v/>
      </c>
      <c r="O115" s="25">
        <f t="shared" si="131"/>
        <v>13000</v>
      </c>
      <c r="P115" s="25" t="str">
        <f t="shared" ref="P115:Q115" si="132">N115</f>
        <v/>
      </c>
      <c r="Q115" s="25">
        <f t="shared" si="132"/>
        <v>13000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 t="s">
        <v>471</v>
      </c>
      <c r="B116" s="1">
        <f t="shared" si="3"/>
        <v>56</v>
      </c>
      <c r="C116" s="1">
        <f t="shared" si="4"/>
        <v>3</v>
      </c>
      <c r="D116" s="1" t="s">
        <v>570</v>
      </c>
      <c r="E116" s="1" t="s">
        <v>473</v>
      </c>
      <c r="F116" s="1" t="s">
        <v>568</v>
      </c>
      <c r="G116" s="1" t="s">
        <v>571</v>
      </c>
      <c r="H116" s="1"/>
      <c r="I116" s="25">
        <v>7500.0</v>
      </c>
      <c r="J116" s="25">
        <v>9500.0</v>
      </c>
      <c r="K116" s="5">
        <f t="shared" si="5"/>
        <v>21.05263158</v>
      </c>
      <c r="L116" s="25">
        <f t="shared" si="6"/>
        <v>2000</v>
      </c>
      <c r="M116" s="1"/>
      <c r="N116" s="25">
        <v>7500.0</v>
      </c>
      <c r="O116" s="25">
        <v>9500.0</v>
      </c>
      <c r="P116" s="25">
        <f t="shared" ref="P116:Q116" si="133">N116</f>
        <v>7500</v>
      </c>
      <c r="Q116" s="25">
        <f t="shared" si="133"/>
        <v>9500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 t="s">
        <v>471</v>
      </c>
      <c r="B117" s="1">
        <f t="shared" si="3"/>
        <v>57</v>
      </c>
      <c r="C117" s="1">
        <f t="shared" si="4"/>
        <v>3</v>
      </c>
      <c r="D117" s="1" t="s">
        <v>572</v>
      </c>
      <c r="E117" s="1" t="s">
        <v>473</v>
      </c>
      <c r="F117" s="1" t="s">
        <v>568</v>
      </c>
      <c r="G117" s="1" t="s">
        <v>573</v>
      </c>
      <c r="H117" s="1"/>
      <c r="I117" s="25">
        <v>4500.0</v>
      </c>
      <c r="J117" s="25">
        <v>6000.0</v>
      </c>
      <c r="K117" s="5">
        <f t="shared" si="5"/>
        <v>25</v>
      </c>
      <c r="L117" s="25">
        <f t="shared" si="6"/>
        <v>1500</v>
      </c>
      <c r="M117" s="1" t="s">
        <v>451</v>
      </c>
      <c r="N117" s="25">
        <v>4500.0</v>
      </c>
      <c r="O117" s="25">
        <v>6000.0</v>
      </c>
      <c r="P117" s="25">
        <f t="shared" ref="P117:Q117" si="134">N117</f>
        <v>4500</v>
      </c>
      <c r="Q117" s="25">
        <f t="shared" si="134"/>
        <v>6000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 t="s">
        <v>471</v>
      </c>
      <c r="B118" s="1">
        <f t="shared" si="3"/>
        <v>58</v>
      </c>
      <c r="C118" s="1">
        <f t="shared" si="4"/>
        <v>3</v>
      </c>
      <c r="D118" s="1" t="s">
        <v>574</v>
      </c>
      <c r="E118" s="1" t="s">
        <v>473</v>
      </c>
      <c r="F118" s="1" t="s">
        <v>568</v>
      </c>
      <c r="G118" s="1" t="s">
        <v>575</v>
      </c>
      <c r="H118" s="1"/>
      <c r="I118" s="25">
        <v>5500.0</v>
      </c>
      <c r="J118" s="25">
        <v>7000.0</v>
      </c>
      <c r="K118" s="5">
        <f t="shared" si="5"/>
        <v>21.42857143</v>
      </c>
      <c r="L118" s="25">
        <f t="shared" si="6"/>
        <v>1500</v>
      </c>
      <c r="M118" s="1"/>
      <c r="N118" s="25">
        <v>5500.0</v>
      </c>
      <c r="O118" s="25">
        <v>7000.0</v>
      </c>
      <c r="P118" s="25">
        <f t="shared" ref="P118:Q118" si="135">N118</f>
        <v>5500</v>
      </c>
      <c r="Q118" s="25">
        <f t="shared" si="135"/>
        <v>7000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 t="s">
        <v>471</v>
      </c>
      <c r="B119" s="1">
        <f t="shared" si="3"/>
        <v>59</v>
      </c>
      <c r="C119" s="1">
        <f t="shared" si="4"/>
        <v>3</v>
      </c>
      <c r="D119" s="1" t="s">
        <v>576</v>
      </c>
      <c r="E119" s="1" t="s">
        <v>473</v>
      </c>
      <c r="F119" s="1" t="s">
        <v>568</v>
      </c>
      <c r="G119" s="1" t="s">
        <v>577</v>
      </c>
      <c r="H119" s="1"/>
      <c r="I119" s="25">
        <v>55000.0</v>
      </c>
      <c r="J119" s="25">
        <v>65000.0</v>
      </c>
      <c r="K119" s="5">
        <f t="shared" si="5"/>
        <v>15.38461538</v>
      </c>
      <c r="L119" s="25">
        <f t="shared" si="6"/>
        <v>10000</v>
      </c>
      <c r="M119" s="1"/>
      <c r="N119" s="25">
        <v>55000.0</v>
      </c>
      <c r="O119" s="1">
        <v>70000.0</v>
      </c>
      <c r="P119" s="25">
        <f t="shared" ref="P119:Q119" si="136">N119</f>
        <v>55000</v>
      </c>
      <c r="Q119" s="1">
        <f t="shared" si="136"/>
        <v>70000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 t="s">
        <v>471</v>
      </c>
      <c r="B120" s="1">
        <f t="shared" si="3"/>
        <v>60</v>
      </c>
      <c r="C120" s="1">
        <f t="shared" si="4"/>
        <v>3</v>
      </c>
      <c r="D120" s="1" t="s">
        <v>578</v>
      </c>
      <c r="E120" s="1" t="s">
        <v>473</v>
      </c>
      <c r="F120" s="1" t="s">
        <v>568</v>
      </c>
      <c r="G120" s="1" t="s">
        <v>579</v>
      </c>
      <c r="H120" s="1"/>
      <c r="I120" s="25">
        <v>3300.0</v>
      </c>
      <c r="J120" s="25">
        <v>5000.0</v>
      </c>
      <c r="K120" s="5">
        <f t="shared" si="5"/>
        <v>34</v>
      </c>
      <c r="L120" s="25">
        <f t="shared" si="6"/>
        <v>1700</v>
      </c>
      <c r="M120" s="1"/>
      <c r="N120" s="25">
        <v>3300.0</v>
      </c>
      <c r="O120" s="25">
        <v>5000.0</v>
      </c>
      <c r="P120" s="25">
        <f t="shared" ref="P120:Q120" si="137">N120</f>
        <v>3300</v>
      </c>
      <c r="Q120" s="25">
        <f t="shared" si="137"/>
        <v>5000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 t="s">
        <v>471</v>
      </c>
      <c r="B121" s="1">
        <f t="shared" si="3"/>
        <v>61</v>
      </c>
      <c r="C121" s="1">
        <f t="shared" si="4"/>
        <v>3</v>
      </c>
      <c r="D121" s="1" t="s">
        <v>580</v>
      </c>
      <c r="E121" s="1" t="s">
        <v>473</v>
      </c>
      <c r="F121" s="1" t="s">
        <v>568</v>
      </c>
      <c r="G121" s="1" t="s">
        <v>581</v>
      </c>
      <c r="H121" s="1"/>
      <c r="I121" s="25"/>
      <c r="J121" s="25">
        <v>10000.0</v>
      </c>
      <c r="K121" s="5">
        <f t="shared" si="5"/>
        <v>100</v>
      </c>
      <c r="L121" s="25">
        <f t="shared" si="6"/>
        <v>10000</v>
      </c>
      <c r="M121" s="1"/>
      <c r="N121" s="25"/>
      <c r="O121" s="25">
        <v>10000.0</v>
      </c>
      <c r="P121" s="25" t="str">
        <f t="shared" ref="P121:Q121" si="138">N121</f>
        <v/>
      </c>
      <c r="Q121" s="25">
        <f t="shared" si="138"/>
        <v>10000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 t="s">
        <v>471</v>
      </c>
      <c r="B122" s="1">
        <f t="shared" si="3"/>
        <v>62</v>
      </c>
      <c r="C122" s="1">
        <f t="shared" si="4"/>
        <v>3</v>
      </c>
      <c r="D122" s="1" t="s">
        <v>582</v>
      </c>
      <c r="E122" s="1" t="s">
        <v>473</v>
      </c>
      <c r="F122" s="1" t="s">
        <v>568</v>
      </c>
      <c r="G122" s="1" t="s">
        <v>583</v>
      </c>
      <c r="H122" s="1"/>
      <c r="I122" s="25"/>
      <c r="J122" s="25">
        <v>5000.0</v>
      </c>
      <c r="K122" s="5">
        <f t="shared" si="5"/>
        <v>100</v>
      </c>
      <c r="L122" s="25">
        <f t="shared" si="6"/>
        <v>5000</v>
      </c>
      <c r="M122" s="1"/>
      <c r="N122" s="25"/>
      <c r="O122" s="25">
        <v>5000.0</v>
      </c>
      <c r="P122" s="25" t="str">
        <f t="shared" ref="P122:Q122" si="139">N122</f>
        <v/>
      </c>
      <c r="Q122" s="25">
        <f t="shared" si="139"/>
        <v>5000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 t="s">
        <v>471</v>
      </c>
      <c r="B123" s="1">
        <f t="shared" si="3"/>
        <v>63</v>
      </c>
      <c r="C123" s="1">
        <f t="shared" si="4"/>
        <v>3</v>
      </c>
      <c r="D123" s="1" t="s">
        <v>106</v>
      </c>
      <c r="E123" s="1" t="s">
        <v>473</v>
      </c>
      <c r="F123" s="1" t="s">
        <v>568</v>
      </c>
      <c r="G123" s="1" t="s">
        <v>584</v>
      </c>
      <c r="H123" s="1"/>
      <c r="I123" s="25">
        <v>17000.0</v>
      </c>
      <c r="J123" s="25">
        <v>22000.0</v>
      </c>
      <c r="K123" s="5">
        <f t="shared" si="5"/>
        <v>22.72727273</v>
      </c>
      <c r="L123" s="25">
        <f t="shared" si="6"/>
        <v>5000</v>
      </c>
      <c r="M123" s="1"/>
      <c r="N123" s="25">
        <f t="shared" ref="N123:O123" si="140">I123</f>
        <v>17000</v>
      </c>
      <c r="O123" s="25">
        <f t="shared" si="140"/>
        <v>22000</v>
      </c>
      <c r="P123" s="25">
        <f t="shared" ref="P123:Q123" si="141">N123</f>
        <v>17000</v>
      </c>
      <c r="Q123" s="25">
        <f t="shared" si="141"/>
        <v>22000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 t="s">
        <v>471</v>
      </c>
      <c r="B124" s="1">
        <f t="shared" si="3"/>
        <v>64</v>
      </c>
      <c r="C124" s="1">
        <f t="shared" si="4"/>
        <v>3</v>
      </c>
      <c r="D124" s="1" t="s">
        <v>585</v>
      </c>
      <c r="E124" s="1" t="s">
        <v>473</v>
      </c>
      <c r="F124" s="1" t="s">
        <v>568</v>
      </c>
      <c r="G124" s="1" t="s">
        <v>586</v>
      </c>
      <c r="H124" s="1"/>
      <c r="I124" s="25">
        <v>5000.0</v>
      </c>
      <c r="J124" s="25">
        <v>7000.0</v>
      </c>
      <c r="K124" s="5">
        <f t="shared" si="5"/>
        <v>28.57142857</v>
      </c>
      <c r="L124" s="25">
        <f t="shared" si="6"/>
        <v>2000</v>
      </c>
      <c r="M124" s="1"/>
      <c r="N124" s="25">
        <f t="shared" ref="N124:O124" si="142">I124</f>
        <v>5000</v>
      </c>
      <c r="O124" s="25">
        <f t="shared" si="142"/>
        <v>7000</v>
      </c>
      <c r="P124" s="25">
        <f t="shared" ref="P124:Q124" si="143">N124</f>
        <v>5000</v>
      </c>
      <c r="Q124" s="25">
        <f t="shared" si="143"/>
        <v>7000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 t="s">
        <v>471</v>
      </c>
      <c r="B125" s="1">
        <f t="shared" si="3"/>
        <v>65</v>
      </c>
      <c r="C125" s="1">
        <f t="shared" si="4"/>
        <v>3</v>
      </c>
      <c r="D125" s="1" t="s">
        <v>587</v>
      </c>
      <c r="E125" s="1" t="s">
        <v>473</v>
      </c>
      <c r="F125" s="1" t="s">
        <v>568</v>
      </c>
      <c r="G125" s="1" t="s">
        <v>588</v>
      </c>
      <c r="H125" s="33"/>
      <c r="I125" s="32">
        <v>4500.0</v>
      </c>
      <c r="J125" s="32">
        <v>6000.0</v>
      </c>
      <c r="K125" s="31">
        <f t="shared" si="5"/>
        <v>25</v>
      </c>
      <c r="L125" s="32">
        <f t="shared" si="6"/>
        <v>1500</v>
      </c>
      <c r="M125" s="1" t="s">
        <v>589</v>
      </c>
      <c r="N125" s="25">
        <f t="shared" ref="N125:O125" si="144">I125</f>
        <v>4500</v>
      </c>
      <c r="O125" s="25">
        <f t="shared" si="144"/>
        <v>6000</v>
      </c>
      <c r="P125" s="25">
        <f t="shared" ref="P125:Q125" si="145">N125</f>
        <v>4500</v>
      </c>
      <c r="Q125" s="25">
        <f t="shared" si="145"/>
        <v>6000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 t="s">
        <v>471</v>
      </c>
      <c r="B126" s="1">
        <f t="shared" si="3"/>
        <v>66</v>
      </c>
      <c r="C126" s="1">
        <f t="shared" si="4"/>
        <v>3</v>
      </c>
      <c r="D126" s="1" t="s">
        <v>39</v>
      </c>
      <c r="E126" s="1" t="s">
        <v>473</v>
      </c>
      <c r="F126" s="1" t="s">
        <v>568</v>
      </c>
      <c r="G126" s="1" t="s">
        <v>590</v>
      </c>
      <c r="H126" s="33"/>
      <c r="I126" s="32">
        <v>12500.0</v>
      </c>
      <c r="J126" s="32">
        <v>15000.0</v>
      </c>
      <c r="K126" s="31">
        <f t="shared" si="5"/>
        <v>16.66666667</v>
      </c>
      <c r="L126" s="32">
        <f t="shared" si="6"/>
        <v>2500</v>
      </c>
      <c r="M126" s="1" t="s">
        <v>591</v>
      </c>
      <c r="N126" s="25">
        <f t="shared" ref="N126:O126" si="146">I126</f>
        <v>12500</v>
      </c>
      <c r="O126" s="25">
        <f t="shared" si="146"/>
        <v>15000</v>
      </c>
      <c r="P126" s="25">
        <f t="shared" ref="P126:Q126" si="147">N126</f>
        <v>12500</v>
      </c>
      <c r="Q126" s="25">
        <f t="shared" si="147"/>
        <v>15000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 t="s">
        <v>471</v>
      </c>
      <c r="B127" s="1">
        <f t="shared" si="3"/>
        <v>67</v>
      </c>
      <c r="C127" s="1">
        <f t="shared" si="4"/>
        <v>3</v>
      </c>
      <c r="D127" s="1" t="s">
        <v>191</v>
      </c>
      <c r="E127" s="1" t="s">
        <v>473</v>
      </c>
      <c r="F127" s="1" t="s">
        <v>568</v>
      </c>
      <c r="G127" s="1" t="s">
        <v>592</v>
      </c>
      <c r="H127" s="1"/>
      <c r="I127" s="25">
        <v>4000.0</v>
      </c>
      <c r="J127" s="25">
        <v>10000.0</v>
      </c>
      <c r="K127" s="5">
        <f t="shared" si="5"/>
        <v>60</v>
      </c>
      <c r="L127" s="25">
        <f t="shared" si="6"/>
        <v>6000</v>
      </c>
      <c r="M127" s="1"/>
      <c r="N127" s="25">
        <v>4000.0</v>
      </c>
      <c r="O127" s="25">
        <v>10000.0</v>
      </c>
      <c r="P127" s="25">
        <f t="shared" ref="P127:Q127" si="148">N127</f>
        <v>4000</v>
      </c>
      <c r="Q127" s="25">
        <f t="shared" si="148"/>
        <v>10000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 t="s">
        <v>471</v>
      </c>
      <c r="B128" s="1">
        <f t="shared" si="3"/>
        <v>68</v>
      </c>
      <c r="C128" s="1">
        <f t="shared" si="4"/>
        <v>3</v>
      </c>
      <c r="D128" s="1" t="s">
        <v>40</v>
      </c>
      <c r="E128" s="1" t="s">
        <v>473</v>
      </c>
      <c r="F128" s="1" t="s">
        <v>568</v>
      </c>
      <c r="G128" s="1" t="s">
        <v>593</v>
      </c>
      <c r="H128" s="1"/>
      <c r="I128" s="25">
        <v>2000.0</v>
      </c>
      <c r="J128" s="25">
        <v>5000.0</v>
      </c>
      <c r="K128" s="5">
        <f t="shared" si="5"/>
        <v>60</v>
      </c>
      <c r="L128" s="25">
        <f t="shared" si="6"/>
        <v>3000</v>
      </c>
      <c r="M128" s="1"/>
      <c r="N128" s="25">
        <v>2000.0</v>
      </c>
      <c r="O128" s="25">
        <v>5000.0</v>
      </c>
      <c r="P128" s="25">
        <f t="shared" ref="P128:Q128" si="149">N128</f>
        <v>2000</v>
      </c>
      <c r="Q128" s="25">
        <f t="shared" si="149"/>
        <v>5000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 t="s">
        <v>471</v>
      </c>
      <c r="B129" s="1">
        <f t="shared" si="3"/>
        <v>69</v>
      </c>
      <c r="C129" s="1">
        <f t="shared" si="4"/>
        <v>3</v>
      </c>
      <c r="D129" s="1" t="s">
        <v>177</v>
      </c>
      <c r="E129" s="1" t="s">
        <v>473</v>
      </c>
      <c r="F129" s="1" t="s">
        <v>568</v>
      </c>
      <c r="G129" s="1" t="s">
        <v>594</v>
      </c>
      <c r="H129" s="1"/>
      <c r="I129" s="25">
        <v>8000.0</v>
      </c>
      <c r="J129" s="25">
        <v>13000.0</v>
      </c>
      <c r="K129" s="5">
        <f t="shared" si="5"/>
        <v>38.46153846</v>
      </c>
      <c r="L129" s="25">
        <f t="shared" si="6"/>
        <v>5000</v>
      </c>
      <c r="M129" s="1" t="s">
        <v>451</v>
      </c>
      <c r="N129" s="25">
        <v>8000.0</v>
      </c>
      <c r="O129" s="25">
        <v>13000.0</v>
      </c>
      <c r="P129" s="25">
        <f t="shared" ref="P129:Q129" si="150">N129</f>
        <v>8000</v>
      </c>
      <c r="Q129" s="25">
        <f t="shared" si="150"/>
        <v>13000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 t="s">
        <v>471</v>
      </c>
      <c r="B130" s="1">
        <f t="shared" si="3"/>
        <v>70</v>
      </c>
      <c r="C130" s="1">
        <f t="shared" si="4"/>
        <v>3</v>
      </c>
      <c r="D130" s="1" t="s">
        <v>234</v>
      </c>
      <c r="E130" s="1" t="s">
        <v>473</v>
      </c>
      <c r="F130" s="1" t="s">
        <v>568</v>
      </c>
      <c r="G130" s="1" t="s">
        <v>595</v>
      </c>
      <c r="H130" s="1"/>
      <c r="I130" s="25">
        <v>13000.0</v>
      </c>
      <c r="J130" s="25">
        <v>17000.0</v>
      </c>
      <c r="K130" s="5">
        <f t="shared" si="5"/>
        <v>23.52941176</v>
      </c>
      <c r="L130" s="25">
        <f t="shared" si="6"/>
        <v>4000</v>
      </c>
      <c r="M130" s="1" t="s">
        <v>451</v>
      </c>
      <c r="N130" s="25">
        <v>13000.0</v>
      </c>
      <c r="O130" s="25">
        <v>17000.0</v>
      </c>
      <c r="P130" s="25">
        <f t="shared" ref="P130:Q130" si="151">N130</f>
        <v>13000</v>
      </c>
      <c r="Q130" s="25">
        <f t="shared" si="151"/>
        <v>17000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 t="s">
        <v>471</v>
      </c>
      <c r="B131" s="1">
        <f t="shared" si="3"/>
        <v>71</v>
      </c>
      <c r="C131" s="1">
        <f t="shared" si="4"/>
        <v>3</v>
      </c>
      <c r="D131" s="1" t="s">
        <v>350</v>
      </c>
      <c r="E131" s="1" t="s">
        <v>473</v>
      </c>
      <c r="F131" s="1" t="s">
        <v>568</v>
      </c>
      <c r="G131" s="1" t="s">
        <v>596</v>
      </c>
      <c r="H131" s="1"/>
      <c r="I131" s="25">
        <v>36000.0</v>
      </c>
      <c r="J131" s="25">
        <v>40000.0</v>
      </c>
      <c r="K131" s="5">
        <f t="shared" si="5"/>
        <v>10</v>
      </c>
      <c r="L131" s="25">
        <f t="shared" si="6"/>
        <v>4000</v>
      </c>
      <c r="M131" s="1" t="s">
        <v>451</v>
      </c>
      <c r="N131" s="25">
        <v>36000.0</v>
      </c>
      <c r="O131" s="25">
        <v>40000.0</v>
      </c>
      <c r="P131" s="25">
        <f t="shared" ref="P131:Q131" si="152">N131</f>
        <v>36000</v>
      </c>
      <c r="Q131" s="25">
        <f t="shared" si="152"/>
        <v>40000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 t="s">
        <v>471</v>
      </c>
      <c r="B132" s="1">
        <f t="shared" si="3"/>
        <v>72</v>
      </c>
      <c r="C132" s="1">
        <f t="shared" si="4"/>
        <v>3</v>
      </c>
      <c r="D132" s="1" t="s">
        <v>597</v>
      </c>
      <c r="E132" s="1" t="s">
        <v>473</v>
      </c>
      <c r="F132" s="1" t="s">
        <v>568</v>
      </c>
      <c r="G132" s="1" t="s">
        <v>598</v>
      </c>
      <c r="H132" s="1"/>
      <c r="I132" s="25">
        <v>20000.0</v>
      </c>
      <c r="J132" s="25">
        <v>25000.0</v>
      </c>
      <c r="K132" s="31">
        <f t="shared" si="5"/>
        <v>20</v>
      </c>
      <c r="L132" s="32">
        <f t="shared" si="6"/>
        <v>5000</v>
      </c>
      <c r="M132" s="1" t="s">
        <v>451</v>
      </c>
      <c r="N132" s="25">
        <f t="shared" ref="N132:O132" si="153">I132</f>
        <v>20000</v>
      </c>
      <c r="O132" s="25">
        <f t="shared" si="153"/>
        <v>25000</v>
      </c>
      <c r="P132" s="25">
        <f t="shared" ref="P132:Q132" si="154">N132</f>
        <v>20000</v>
      </c>
      <c r="Q132" s="25">
        <f t="shared" si="154"/>
        <v>25000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 t="s">
        <v>471</v>
      </c>
      <c r="B133" s="1">
        <f t="shared" si="3"/>
        <v>73</v>
      </c>
      <c r="C133" s="1">
        <f t="shared" si="4"/>
        <v>3</v>
      </c>
      <c r="D133" s="1" t="s">
        <v>96</v>
      </c>
      <c r="E133" s="1" t="s">
        <v>473</v>
      </c>
      <c r="F133" s="1" t="s">
        <v>568</v>
      </c>
      <c r="G133" s="1" t="s">
        <v>599</v>
      </c>
      <c r="H133" s="1"/>
      <c r="I133" s="25">
        <v>37262.0</v>
      </c>
      <c r="J133" s="25">
        <v>60000.0</v>
      </c>
      <c r="K133" s="5">
        <f t="shared" si="5"/>
        <v>37.89666667</v>
      </c>
      <c r="L133" s="25">
        <f t="shared" si="6"/>
        <v>22738</v>
      </c>
      <c r="M133" s="1" t="s">
        <v>381</v>
      </c>
      <c r="N133" s="25">
        <v>37262.0</v>
      </c>
      <c r="O133" s="25">
        <v>60000.0</v>
      </c>
      <c r="P133" s="25">
        <f t="shared" ref="P133:Q133" si="155">N133</f>
        <v>37262</v>
      </c>
      <c r="Q133" s="25">
        <f t="shared" si="155"/>
        <v>60000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 t="s">
        <v>471</v>
      </c>
      <c r="B134" s="1">
        <f t="shared" si="3"/>
        <v>74</v>
      </c>
      <c r="C134" s="1">
        <f t="shared" si="4"/>
        <v>3</v>
      </c>
      <c r="D134" s="1" t="s">
        <v>600</v>
      </c>
      <c r="E134" s="1" t="s">
        <v>473</v>
      </c>
      <c r="F134" s="1" t="s">
        <v>568</v>
      </c>
      <c r="G134" s="1" t="s">
        <v>601</v>
      </c>
      <c r="H134" s="1"/>
      <c r="I134" s="25"/>
      <c r="J134" s="25">
        <v>30000.0</v>
      </c>
      <c r="K134" s="31">
        <f t="shared" si="5"/>
        <v>100</v>
      </c>
      <c r="L134" s="32">
        <f t="shared" si="6"/>
        <v>30000</v>
      </c>
      <c r="M134" s="1"/>
      <c r="N134" s="25" t="str">
        <f t="shared" ref="N134:O134" si="156">I134</f>
        <v/>
      </c>
      <c r="O134" s="25">
        <f t="shared" si="156"/>
        <v>30000</v>
      </c>
      <c r="P134" s="25" t="str">
        <f t="shared" ref="P134:Q134" si="157">N134</f>
        <v/>
      </c>
      <c r="Q134" s="25">
        <f t="shared" si="157"/>
        <v>30000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 t="s">
        <v>471</v>
      </c>
      <c r="B135" s="1">
        <f t="shared" si="3"/>
        <v>75</v>
      </c>
      <c r="C135" s="1">
        <f t="shared" si="4"/>
        <v>3</v>
      </c>
      <c r="D135" s="1" t="s">
        <v>602</v>
      </c>
      <c r="E135" s="1" t="s">
        <v>473</v>
      </c>
      <c r="F135" s="1" t="s">
        <v>568</v>
      </c>
      <c r="G135" s="1" t="s">
        <v>603</v>
      </c>
      <c r="H135" s="1"/>
      <c r="I135" s="25"/>
      <c r="J135" s="25">
        <v>4000.0</v>
      </c>
      <c r="K135" s="31">
        <f t="shared" si="5"/>
        <v>100</v>
      </c>
      <c r="L135" s="32">
        <f t="shared" si="6"/>
        <v>4000</v>
      </c>
      <c r="M135" s="1" t="s">
        <v>451</v>
      </c>
      <c r="N135" s="25" t="str">
        <f t="shared" ref="N135:O135" si="158">I135</f>
        <v/>
      </c>
      <c r="O135" s="25">
        <f t="shared" si="158"/>
        <v>4000</v>
      </c>
      <c r="P135" s="25" t="str">
        <f t="shared" ref="P135:Q135" si="159">N135</f>
        <v/>
      </c>
      <c r="Q135" s="25">
        <f t="shared" si="159"/>
        <v>4000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 t="s">
        <v>471</v>
      </c>
      <c r="B136" s="1">
        <f t="shared" si="3"/>
        <v>76</v>
      </c>
      <c r="C136" s="1">
        <f t="shared" si="4"/>
        <v>3</v>
      </c>
      <c r="D136" s="1" t="s">
        <v>604</v>
      </c>
      <c r="E136" s="1" t="s">
        <v>473</v>
      </c>
      <c r="F136" s="1" t="s">
        <v>568</v>
      </c>
      <c r="G136" s="1" t="s">
        <v>605</v>
      </c>
      <c r="H136" s="1"/>
      <c r="I136" s="25">
        <v>710.0</v>
      </c>
      <c r="J136" s="25">
        <v>1500.0</v>
      </c>
      <c r="K136" s="5">
        <f t="shared" si="5"/>
        <v>52.66666667</v>
      </c>
      <c r="L136" s="25">
        <f t="shared" si="6"/>
        <v>790</v>
      </c>
      <c r="M136" s="1" t="s">
        <v>381</v>
      </c>
      <c r="N136" s="25">
        <v>710.0</v>
      </c>
      <c r="O136" s="25">
        <v>1500.0</v>
      </c>
      <c r="P136" s="25">
        <f t="shared" ref="P136:Q136" si="160">N136</f>
        <v>710</v>
      </c>
      <c r="Q136" s="25">
        <f t="shared" si="160"/>
        <v>1500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 t="s">
        <v>471</v>
      </c>
      <c r="B137" s="1">
        <f t="shared" si="3"/>
        <v>77</v>
      </c>
      <c r="C137" s="1">
        <f t="shared" si="4"/>
        <v>3</v>
      </c>
      <c r="D137" s="1" t="s">
        <v>606</v>
      </c>
      <c r="E137" s="1" t="s">
        <v>473</v>
      </c>
      <c r="F137" s="1" t="s">
        <v>568</v>
      </c>
      <c r="G137" s="1" t="s">
        <v>607</v>
      </c>
      <c r="H137" s="1"/>
      <c r="I137" s="25">
        <v>18581.0</v>
      </c>
      <c r="J137" s="25">
        <v>35000.0</v>
      </c>
      <c r="K137" s="5">
        <f t="shared" si="5"/>
        <v>46.91142857</v>
      </c>
      <c r="L137" s="25">
        <f t="shared" si="6"/>
        <v>16419</v>
      </c>
      <c r="M137" s="1" t="s">
        <v>381</v>
      </c>
      <c r="N137" s="25">
        <v>18581.0</v>
      </c>
      <c r="O137" s="25">
        <v>35000.0</v>
      </c>
      <c r="P137" s="25">
        <f t="shared" ref="P137:Q137" si="161">N137</f>
        <v>18581</v>
      </c>
      <c r="Q137" s="25">
        <f t="shared" si="161"/>
        <v>35000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 t="s">
        <v>471</v>
      </c>
      <c r="B138" s="1">
        <f t="shared" si="3"/>
        <v>78</v>
      </c>
      <c r="C138" s="1">
        <f t="shared" si="4"/>
        <v>3</v>
      </c>
      <c r="D138" s="1" t="s">
        <v>608</v>
      </c>
      <c r="E138" s="1" t="s">
        <v>473</v>
      </c>
      <c r="F138" s="1" t="s">
        <v>568</v>
      </c>
      <c r="G138" s="1" t="s">
        <v>609</v>
      </c>
      <c r="H138" s="33"/>
      <c r="I138" s="32">
        <v>500.0</v>
      </c>
      <c r="J138" s="32">
        <v>1000.0</v>
      </c>
      <c r="K138" s="31">
        <f t="shared" si="5"/>
        <v>50</v>
      </c>
      <c r="L138" s="32">
        <f t="shared" si="6"/>
        <v>500</v>
      </c>
      <c r="M138" s="1" t="s">
        <v>381</v>
      </c>
      <c r="N138" s="25">
        <f t="shared" ref="N138:O138" si="162">I138</f>
        <v>500</v>
      </c>
      <c r="O138" s="25">
        <f t="shared" si="162"/>
        <v>1000</v>
      </c>
      <c r="P138" s="25">
        <f t="shared" ref="P138:Q138" si="163">N138</f>
        <v>500</v>
      </c>
      <c r="Q138" s="25">
        <f t="shared" si="163"/>
        <v>1000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 t="s">
        <v>471</v>
      </c>
      <c r="B139" s="1">
        <f t="shared" si="3"/>
        <v>79</v>
      </c>
      <c r="C139" s="1">
        <f t="shared" si="4"/>
        <v>3</v>
      </c>
      <c r="D139" s="1" t="s">
        <v>89</v>
      </c>
      <c r="E139" s="1" t="s">
        <v>473</v>
      </c>
      <c r="F139" s="1" t="s">
        <v>568</v>
      </c>
      <c r="G139" s="1" t="s">
        <v>610</v>
      </c>
      <c r="H139" s="1"/>
      <c r="I139" s="25">
        <v>200.0</v>
      </c>
      <c r="J139" s="25">
        <v>1000.0</v>
      </c>
      <c r="K139" s="5">
        <f t="shared" si="5"/>
        <v>80</v>
      </c>
      <c r="L139" s="25">
        <f t="shared" si="6"/>
        <v>800</v>
      </c>
      <c r="M139" s="1" t="s">
        <v>381</v>
      </c>
      <c r="N139" s="25">
        <v>200.0</v>
      </c>
      <c r="O139" s="25">
        <v>1000.0</v>
      </c>
      <c r="P139" s="25">
        <f t="shared" ref="P139:Q139" si="164">N139</f>
        <v>200</v>
      </c>
      <c r="Q139" s="25">
        <f t="shared" si="164"/>
        <v>1000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 t="s">
        <v>471</v>
      </c>
      <c r="B140" s="1">
        <f t="shared" si="3"/>
        <v>80</v>
      </c>
      <c r="C140" s="1">
        <f t="shared" si="4"/>
        <v>3</v>
      </c>
      <c r="D140" s="1" t="s">
        <v>611</v>
      </c>
      <c r="E140" s="1" t="s">
        <v>473</v>
      </c>
      <c r="F140" s="1" t="s">
        <v>568</v>
      </c>
      <c r="G140" s="1" t="s">
        <v>612</v>
      </c>
      <c r="H140" s="1"/>
      <c r="I140" s="25">
        <v>8000.0</v>
      </c>
      <c r="J140" s="25">
        <v>15000.0</v>
      </c>
      <c r="K140" s="31">
        <f t="shared" si="5"/>
        <v>46.66666667</v>
      </c>
      <c r="L140" s="32">
        <f t="shared" si="6"/>
        <v>7000</v>
      </c>
      <c r="M140" s="1" t="s">
        <v>381</v>
      </c>
      <c r="N140" s="25">
        <f t="shared" ref="N140:O140" si="165">I140</f>
        <v>8000</v>
      </c>
      <c r="O140" s="25">
        <f t="shared" si="165"/>
        <v>15000</v>
      </c>
      <c r="P140" s="25">
        <f t="shared" ref="P140:Q140" si="166">N140</f>
        <v>8000</v>
      </c>
      <c r="Q140" s="25">
        <f t="shared" si="166"/>
        <v>15000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 t="s">
        <v>471</v>
      </c>
      <c r="B141" s="1">
        <f t="shared" si="3"/>
        <v>81</v>
      </c>
      <c r="C141" s="1">
        <f t="shared" si="4"/>
        <v>3</v>
      </c>
      <c r="D141" s="1" t="s">
        <v>613</v>
      </c>
      <c r="E141" s="1" t="s">
        <v>473</v>
      </c>
      <c r="F141" s="1" t="s">
        <v>568</v>
      </c>
      <c r="G141" s="1" t="s">
        <v>614</v>
      </c>
      <c r="H141" s="1"/>
      <c r="I141" s="25">
        <v>30000.0</v>
      </c>
      <c r="J141" s="25">
        <v>37500.0</v>
      </c>
      <c r="K141" s="5">
        <f t="shared" si="5"/>
        <v>20</v>
      </c>
      <c r="L141" s="25">
        <f t="shared" si="6"/>
        <v>7500</v>
      </c>
      <c r="M141" s="1"/>
      <c r="N141" s="25">
        <v>30000.0</v>
      </c>
      <c r="O141" s="25">
        <v>37500.0</v>
      </c>
      <c r="P141" s="25">
        <f t="shared" ref="P141:Q141" si="167">N141</f>
        <v>30000</v>
      </c>
      <c r="Q141" s="25">
        <f t="shared" si="167"/>
        <v>37500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 t="s">
        <v>471</v>
      </c>
      <c r="B142" s="1">
        <f t="shared" si="3"/>
        <v>82</v>
      </c>
      <c r="C142" s="1">
        <f t="shared" si="4"/>
        <v>3</v>
      </c>
      <c r="D142" s="1" t="s">
        <v>615</v>
      </c>
      <c r="E142" s="1" t="s">
        <v>473</v>
      </c>
      <c r="F142" s="1" t="s">
        <v>568</v>
      </c>
      <c r="G142" s="1" t="s">
        <v>616</v>
      </c>
      <c r="H142" s="1"/>
      <c r="I142" s="25">
        <v>20000.0</v>
      </c>
      <c r="J142" s="25">
        <v>25000.0</v>
      </c>
      <c r="K142" s="5">
        <f t="shared" si="5"/>
        <v>20</v>
      </c>
      <c r="L142" s="25">
        <f t="shared" si="6"/>
        <v>5000</v>
      </c>
      <c r="M142" s="1"/>
      <c r="N142" s="25">
        <v>20000.0</v>
      </c>
      <c r="O142" s="25">
        <v>25000.0</v>
      </c>
      <c r="P142" s="25">
        <f t="shared" ref="P142:Q142" si="168">N142</f>
        <v>20000</v>
      </c>
      <c r="Q142" s="25">
        <f t="shared" si="168"/>
        <v>25000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 t="s">
        <v>471</v>
      </c>
      <c r="B143" s="1">
        <f t="shared" si="3"/>
        <v>83</v>
      </c>
      <c r="C143" s="1">
        <f t="shared" si="4"/>
        <v>3</v>
      </c>
      <c r="D143" s="1" t="s">
        <v>617</v>
      </c>
      <c r="E143" s="1" t="s">
        <v>473</v>
      </c>
      <c r="F143" s="1" t="s">
        <v>568</v>
      </c>
      <c r="G143" s="1" t="s">
        <v>618</v>
      </c>
      <c r="H143" s="1"/>
      <c r="I143" s="25">
        <v>35000.0</v>
      </c>
      <c r="J143" s="25">
        <v>50000.0</v>
      </c>
      <c r="K143" s="5">
        <f t="shared" si="5"/>
        <v>30</v>
      </c>
      <c r="L143" s="25">
        <f t="shared" si="6"/>
        <v>15000</v>
      </c>
      <c r="M143" s="1" t="s">
        <v>381</v>
      </c>
      <c r="N143" s="25">
        <v>35000.0</v>
      </c>
      <c r="O143" s="25">
        <v>50000.0</v>
      </c>
      <c r="P143" s="25">
        <f t="shared" ref="P143:Q143" si="169">N143</f>
        <v>35000</v>
      </c>
      <c r="Q143" s="25">
        <f t="shared" si="169"/>
        <v>50000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 t="s">
        <v>471</v>
      </c>
      <c r="B144" s="1">
        <f t="shared" si="3"/>
        <v>84</v>
      </c>
      <c r="C144" s="1">
        <f t="shared" si="4"/>
        <v>3</v>
      </c>
      <c r="D144" s="1" t="s">
        <v>619</v>
      </c>
      <c r="E144" s="1" t="s">
        <v>473</v>
      </c>
      <c r="F144" s="1" t="s">
        <v>568</v>
      </c>
      <c r="G144" s="1" t="s">
        <v>620</v>
      </c>
      <c r="H144" s="1"/>
      <c r="I144" s="25">
        <v>10000.0</v>
      </c>
      <c r="J144" s="25">
        <v>13000.0</v>
      </c>
      <c r="K144" s="5">
        <f t="shared" si="5"/>
        <v>23.07692308</v>
      </c>
      <c r="L144" s="25">
        <f t="shared" si="6"/>
        <v>3000</v>
      </c>
      <c r="M144" s="1" t="s">
        <v>451</v>
      </c>
      <c r="N144" s="25">
        <v>10000.0</v>
      </c>
      <c r="O144" s="25">
        <v>13000.0</v>
      </c>
      <c r="P144" s="25">
        <f t="shared" ref="P144:Q144" si="170">N144</f>
        <v>10000</v>
      </c>
      <c r="Q144" s="25">
        <f t="shared" si="170"/>
        <v>13000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 t="s">
        <v>471</v>
      </c>
      <c r="B145" s="1">
        <f t="shared" si="3"/>
        <v>85</v>
      </c>
      <c r="C145" s="1">
        <f t="shared" si="4"/>
        <v>3</v>
      </c>
      <c r="D145" s="1" t="s">
        <v>132</v>
      </c>
      <c r="E145" s="1" t="s">
        <v>473</v>
      </c>
      <c r="F145" s="1" t="s">
        <v>568</v>
      </c>
      <c r="G145" s="1" t="s">
        <v>621</v>
      </c>
      <c r="H145" s="1"/>
      <c r="I145" s="25">
        <v>16078.0</v>
      </c>
      <c r="J145" s="25">
        <v>30000.0</v>
      </c>
      <c r="K145" s="5">
        <f t="shared" si="5"/>
        <v>46.40666667</v>
      </c>
      <c r="L145" s="25">
        <f t="shared" si="6"/>
        <v>13922</v>
      </c>
      <c r="M145" s="1" t="s">
        <v>381</v>
      </c>
      <c r="N145" s="25">
        <v>16078.0</v>
      </c>
      <c r="O145" s="25">
        <v>35000.0</v>
      </c>
      <c r="P145" s="25">
        <f t="shared" ref="P145:Q145" si="171">N145</f>
        <v>16078</v>
      </c>
      <c r="Q145" s="25">
        <f t="shared" si="171"/>
        <v>35000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 t="s">
        <v>471</v>
      </c>
      <c r="B146" s="1">
        <f t="shared" si="3"/>
        <v>86</v>
      </c>
      <c r="C146" s="1">
        <f t="shared" si="4"/>
        <v>3</v>
      </c>
      <c r="D146" s="1" t="s">
        <v>307</v>
      </c>
      <c r="E146" s="1" t="s">
        <v>473</v>
      </c>
      <c r="F146" s="1" t="s">
        <v>568</v>
      </c>
      <c r="G146" s="1" t="s">
        <v>622</v>
      </c>
      <c r="H146" s="1"/>
      <c r="I146" s="25">
        <v>12500.0</v>
      </c>
      <c r="J146" s="25">
        <v>15000.0</v>
      </c>
      <c r="K146" s="5">
        <f t="shared" si="5"/>
        <v>16.66666667</v>
      </c>
      <c r="L146" s="25">
        <f t="shared" si="6"/>
        <v>2500</v>
      </c>
      <c r="M146" s="1"/>
      <c r="N146" s="25">
        <v>12500.0</v>
      </c>
      <c r="O146" s="25">
        <v>15000.0</v>
      </c>
      <c r="P146" s="25">
        <f t="shared" ref="P146:Q146" si="172">N146</f>
        <v>12500</v>
      </c>
      <c r="Q146" s="25">
        <f t="shared" si="172"/>
        <v>15000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 t="s">
        <v>471</v>
      </c>
      <c r="B147" s="1">
        <f t="shared" si="3"/>
        <v>87</v>
      </c>
      <c r="C147" s="1">
        <f t="shared" si="4"/>
        <v>3</v>
      </c>
      <c r="D147" s="1" t="s">
        <v>623</v>
      </c>
      <c r="E147" s="1" t="s">
        <v>473</v>
      </c>
      <c r="F147" s="1" t="s">
        <v>568</v>
      </c>
      <c r="G147" s="1" t="s">
        <v>624</v>
      </c>
      <c r="H147" s="1"/>
      <c r="I147" s="25">
        <v>20000.0</v>
      </c>
      <c r="J147" s="25">
        <v>25000.0</v>
      </c>
      <c r="K147" s="31">
        <f t="shared" si="5"/>
        <v>20</v>
      </c>
      <c r="L147" s="32">
        <f t="shared" si="6"/>
        <v>5000</v>
      </c>
      <c r="M147" s="1" t="s">
        <v>451</v>
      </c>
      <c r="N147" s="25">
        <f t="shared" ref="N147:O147" si="173">I147</f>
        <v>20000</v>
      </c>
      <c r="O147" s="25">
        <f t="shared" si="173"/>
        <v>25000</v>
      </c>
      <c r="P147" s="25">
        <f t="shared" ref="P147:Q147" si="174">N147</f>
        <v>20000</v>
      </c>
      <c r="Q147" s="25">
        <f t="shared" si="174"/>
        <v>25000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 t="s">
        <v>471</v>
      </c>
      <c r="B148" s="1">
        <f t="shared" si="3"/>
        <v>88</v>
      </c>
      <c r="C148" s="1">
        <f t="shared" si="4"/>
        <v>3</v>
      </c>
      <c r="D148" s="1" t="s">
        <v>297</v>
      </c>
      <c r="E148" s="1" t="s">
        <v>473</v>
      </c>
      <c r="F148" s="1" t="s">
        <v>568</v>
      </c>
      <c r="G148" s="1" t="s">
        <v>625</v>
      </c>
      <c r="H148" s="1"/>
      <c r="I148" s="25">
        <v>6000.0</v>
      </c>
      <c r="J148" s="25">
        <v>12000.0</v>
      </c>
      <c r="K148" s="31">
        <f t="shared" si="5"/>
        <v>50</v>
      </c>
      <c r="L148" s="32">
        <f t="shared" si="6"/>
        <v>6000</v>
      </c>
      <c r="M148" s="1" t="s">
        <v>451</v>
      </c>
      <c r="N148" s="25">
        <f t="shared" ref="N148:O148" si="175">I148</f>
        <v>6000</v>
      </c>
      <c r="O148" s="25">
        <f t="shared" si="175"/>
        <v>12000</v>
      </c>
      <c r="P148" s="25">
        <f t="shared" ref="P148:Q148" si="176">N148</f>
        <v>6000</v>
      </c>
      <c r="Q148" s="25">
        <f t="shared" si="176"/>
        <v>12000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 t="s">
        <v>471</v>
      </c>
      <c r="B149" s="1">
        <f t="shared" si="3"/>
        <v>89</v>
      </c>
      <c r="C149" s="1">
        <f t="shared" si="4"/>
        <v>3</v>
      </c>
      <c r="D149" s="1" t="s">
        <v>53</v>
      </c>
      <c r="E149" s="1" t="s">
        <v>473</v>
      </c>
      <c r="F149" s="1" t="s">
        <v>568</v>
      </c>
      <c r="G149" s="1" t="s">
        <v>626</v>
      </c>
      <c r="H149" s="1"/>
      <c r="I149" s="25">
        <v>29000.0</v>
      </c>
      <c r="J149" s="25">
        <v>35000.0</v>
      </c>
      <c r="K149" s="5">
        <f t="shared" si="5"/>
        <v>17.14285714</v>
      </c>
      <c r="L149" s="25">
        <f t="shared" si="6"/>
        <v>6000</v>
      </c>
      <c r="M149" s="1"/>
      <c r="N149" s="25">
        <v>29000.0</v>
      </c>
      <c r="O149" s="25">
        <v>35000.0</v>
      </c>
      <c r="P149" s="25">
        <f t="shared" ref="P149:Q149" si="177">N149</f>
        <v>29000</v>
      </c>
      <c r="Q149" s="25">
        <f t="shared" si="177"/>
        <v>35000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 t="s">
        <v>471</v>
      </c>
      <c r="B150" s="1">
        <f t="shared" si="3"/>
        <v>90</v>
      </c>
      <c r="C150" s="1">
        <f t="shared" si="4"/>
        <v>3</v>
      </c>
      <c r="D150" s="1" t="s">
        <v>54</v>
      </c>
      <c r="E150" s="1" t="s">
        <v>473</v>
      </c>
      <c r="F150" s="1" t="s">
        <v>568</v>
      </c>
      <c r="G150" s="1" t="s">
        <v>627</v>
      </c>
      <c r="H150" s="1"/>
      <c r="I150" s="25">
        <v>33000.0</v>
      </c>
      <c r="J150" s="25">
        <v>43000.0</v>
      </c>
      <c r="K150" s="5">
        <f t="shared" si="5"/>
        <v>23.25581395</v>
      </c>
      <c r="L150" s="25">
        <f t="shared" si="6"/>
        <v>10000</v>
      </c>
      <c r="M150" s="1"/>
      <c r="N150" s="25">
        <v>33000.0</v>
      </c>
      <c r="O150" s="25">
        <v>43000.0</v>
      </c>
      <c r="P150" s="25">
        <f t="shared" ref="P150:Q150" si="178">N150</f>
        <v>33000</v>
      </c>
      <c r="Q150" s="25">
        <f t="shared" si="178"/>
        <v>43000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 t="s">
        <v>471</v>
      </c>
      <c r="B151" s="1">
        <f t="shared" si="3"/>
        <v>91</v>
      </c>
      <c r="C151" s="1">
        <f t="shared" si="4"/>
        <v>3</v>
      </c>
      <c r="D151" s="1" t="s">
        <v>628</v>
      </c>
      <c r="E151" s="1" t="s">
        <v>473</v>
      </c>
      <c r="F151" s="1" t="s">
        <v>568</v>
      </c>
      <c r="G151" s="1" t="s">
        <v>629</v>
      </c>
      <c r="H151" s="1"/>
      <c r="I151" s="25">
        <v>9000.0</v>
      </c>
      <c r="J151" s="25">
        <v>16000.0</v>
      </c>
      <c r="K151" s="31">
        <f t="shared" si="5"/>
        <v>43.75</v>
      </c>
      <c r="L151" s="32">
        <f t="shared" si="6"/>
        <v>7000</v>
      </c>
      <c r="M151" s="1" t="s">
        <v>451</v>
      </c>
      <c r="N151" s="25">
        <f t="shared" ref="N151:O151" si="179">I151</f>
        <v>9000</v>
      </c>
      <c r="O151" s="25">
        <f t="shared" si="179"/>
        <v>16000</v>
      </c>
      <c r="P151" s="25">
        <f t="shared" ref="P151:Q151" si="180">N151</f>
        <v>9000</v>
      </c>
      <c r="Q151" s="25">
        <f t="shared" si="180"/>
        <v>16000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 t="s">
        <v>471</v>
      </c>
      <c r="B152" s="1">
        <f t="shared" si="3"/>
        <v>92</v>
      </c>
      <c r="C152" s="1">
        <f t="shared" si="4"/>
        <v>3</v>
      </c>
      <c r="D152" s="1" t="s">
        <v>333</v>
      </c>
      <c r="E152" s="1" t="s">
        <v>473</v>
      </c>
      <c r="F152" s="1" t="s">
        <v>568</v>
      </c>
      <c r="G152" s="1" t="s">
        <v>630</v>
      </c>
      <c r="H152" s="1"/>
      <c r="I152" s="25">
        <v>8500.0</v>
      </c>
      <c r="J152" s="25">
        <v>14000.0</v>
      </c>
      <c r="K152" s="5">
        <f t="shared" si="5"/>
        <v>39.28571429</v>
      </c>
      <c r="L152" s="25">
        <f t="shared" si="6"/>
        <v>5500</v>
      </c>
      <c r="M152" s="1"/>
      <c r="N152" s="25">
        <v>8500.0</v>
      </c>
      <c r="O152" s="25">
        <v>14000.0</v>
      </c>
      <c r="P152" s="25">
        <f t="shared" ref="P152:Q152" si="181">N152</f>
        <v>8500</v>
      </c>
      <c r="Q152" s="25">
        <f t="shared" si="181"/>
        <v>14000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 t="s">
        <v>631</v>
      </c>
      <c r="B153" s="1">
        <f t="shared" si="3"/>
        <v>93</v>
      </c>
      <c r="C153" s="1">
        <f t="shared" si="4"/>
        <v>3</v>
      </c>
      <c r="D153" s="1" t="s">
        <v>632</v>
      </c>
      <c r="E153" s="1" t="s">
        <v>473</v>
      </c>
      <c r="F153" s="1" t="s">
        <v>568</v>
      </c>
      <c r="G153" s="1" t="s">
        <v>633</v>
      </c>
      <c r="H153" s="1"/>
      <c r="I153" s="25">
        <v>12000.0</v>
      </c>
      <c r="J153" s="25">
        <v>15000.0</v>
      </c>
      <c r="K153" s="5">
        <f t="shared" si="5"/>
        <v>20</v>
      </c>
      <c r="L153" s="25">
        <f t="shared" si="6"/>
        <v>3000</v>
      </c>
      <c r="M153" s="1"/>
      <c r="N153" s="25">
        <v>12000.0</v>
      </c>
      <c r="O153" s="25">
        <v>15000.0</v>
      </c>
      <c r="P153" s="25">
        <f t="shared" ref="P153:Q153" si="182">N153</f>
        <v>12000</v>
      </c>
      <c r="Q153" s="25">
        <f t="shared" si="182"/>
        <v>15000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 t="s">
        <v>471</v>
      </c>
      <c r="B154" s="1">
        <f t="shared" si="3"/>
        <v>94</v>
      </c>
      <c r="C154" s="1">
        <f t="shared" si="4"/>
        <v>3</v>
      </c>
      <c r="D154" s="1" t="s">
        <v>210</v>
      </c>
      <c r="E154" s="1" t="s">
        <v>473</v>
      </c>
      <c r="F154" s="1" t="s">
        <v>568</v>
      </c>
      <c r="G154" s="1" t="s">
        <v>634</v>
      </c>
      <c r="H154" s="1"/>
      <c r="I154" s="25">
        <v>12000.0</v>
      </c>
      <c r="J154" s="25">
        <v>15000.0</v>
      </c>
      <c r="K154" s="5">
        <f t="shared" si="5"/>
        <v>20</v>
      </c>
      <c r="L154" s="25">
        <f t="shared" si="6"/>
        <v>3000</v>
      </c>
      <c r="M154" s="1"/>
      <c r="N154" s="25">
        <v>12000.0</v>
      </c>
      <c r="O154" s="25">
        <v>15000.0</v>
      </c>
      <c r="P154" s="25">
        <f t="shared" ref="P154:Q154" si="183">N154</f>
        <v>12000</v>
      </c>
      <c r="Q154" s="25">
        <f t="shared" si="183"/>
        <v>15000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 t="s">
        <v>471</v>
      </c>
      <c r="B155" s="1">
        <f t="shared" si="3"/>
        <v>95</v>
      </c>
      <c r="C155" s="1">
        <f t="shared" si="4"/>
        <v>3</v>
      </c>
      <c r="D155" s="1" t="s">
        <v>635</v>
      </c>
      <c r="E155" s="1" t="s">
        <v>473</v>
      </c>
      <c r="F155" s="1" t="s">
        <v>568</v>
      </c>
      <c r="G155" s="1" t="s">
        <v>636</v>
      </c>
      <c r="H155" s="1"/>
      <c r="I155" s="25">
        <v>12000.0</v>
      </c>
      <c r="J155" s="25">
        <v>15000.0</v>
      </c>
      <c r="K155" s="5">
        <f t="shared" si="5"/>
        <v>20</v>
      </c>
      <c r="L155" s="25">
        <f t="shared" si="6"/>
        <v>3000</v>
      </c>
      <c r="M155" s="1"/>
      <c r="N155" s="25">
        <v>12000.0</v>
      </c>
      <c r="O155" s="25">
        <v>15000.0</v>
      </c>
      <c r="P155" s="25">
        <f t="shared" ref="P155:Q155" si="184">N155</f>
        <v>12000</v>
      </c>
      <c r="Q155" s="25">
        <f t="shared" si="184"/>
        <v>15000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 t="s">
        <v>471</v>
      </c>
      <c r="B156" s="1">
        <f t="shared" si="3"/>
        <v>96</v>
      </c>
      <c r="C156" s="1">
        <f t="shared" si="4"/>
        <v>3</v>
      </c>
      <c r="D156" s="1" t="s">
        <v>637</v>
      </c>
      <c r="E156" s="1" t="s">
        <v>473</v>
      </c>
      <c r="F156" s="1" t="s">
        <v>568</v>
      </c>
      <c r="G156" s="1" t="s">
        <v>638</v>
      </c>
      <c r="H156" s="1"/>
      <c r="I156" s="25">
        <v>44000.0</v>
      </c>
      <c r="J156" s="25">
        <v>55000.0</v>
      </c>
      <c r="K156" s="5">
        <f t="shared" si="5"/>
        <v>20</v>
      </c>
      <c r="L156" s="25">
        <f t="shared" si="6"/>
        <v>11000</v>
      </c>
      <c r="M156" s="1" t="s">
        <v>451</v>
      </c>
      <c r="N156" s="25">
        <v>44000.0</v>
      </c>
      <c r="O156" s="25">
        <v>55000.0</v>
      </c>
      <c r="P156" s="25">
        <f t="shared" ref="P156:Q156" si="185">N156</f>
        <v>44000</v>
      </c>
      <c r="Q156" s="25">
        <f t="shared" si="185"/>
        <v>55000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 t="s">
        <v>471</v>
      </c>
      <c r="B157" s="1">
        <f t="shared" si="3"/>
        <v>97</v>
      </c>
      <c r="C157" s="1">
        <f t="shared" si="4"/>
        <v>3</v>
      </c>
      <c r="D157" s="1" t="s">
        <v>639</v>
      </c>
      <c r="E157" s="1" t="s">
        <v>473</v>
      </c>
      <c r="F157" s="1" t="s">
        <v>568</v>
      </c>
      <c r="G157" s="1" t="s">
        <v>640</v>
      </c>
      <c r="H157" s="1"/>
      <c r="I157" s="25">
        <v>20250.0</v>
      </c>
      <c r="J157" s="25">
        <v>30000.0</v>
      </c>
      <c r="K157" s="5">
        <f t="shared" si="5"/>
        <v>32.5</v>
      </c>
      <c r="L157" s="25">
        <f t="shared" si="6"/>
        <v>9750</v>
      </c>
      <c r="M157" s="1" t="s">
        <v>381</v>
      </c>
      <c r="N157" s="25">
        <v>20250.0</v>
      </c>
      <c r="O157" s="25">
        <v>30000.0</v>
      </c>
      <c r="P157" s="25">
        <f t="shared" ref="P157:Q157" si="186">N157</f>
        <v>20250</v>
      </c>
      <c r="Q157" s="25">
        <f t="shared" si="186"/>
        <v>30000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 t="s">
        <v>471</v>
      </c>
      <c r="B158" s="1">
        <f t="shared" si="3"/>
        <v>98</v>
      </c>
      <c r="C158" s="1">
        <f t="shared" si="4"/>
        <v>3</v>
      </c>
      <c r="D158" s="1" t="s">
        <v>275</v>
      </c>
      <c r="E158" s="1" t="s">
        <v>473</v>
      </c>
      <c r="F158" s="1" t="s">
        <v>568</v>
      </c>
      <c r="G158" s="1" t="s">
        <v>641</v>
      </c>
      <c r="H158" s="1"/>
      <c r="I158" s="25">
        <v>23500.0</v>
      </c>
      <c r="J158" s="25">
        <v>30000.0</v>
      </c>
      <c r="K158" s="5">
        <f t="shared" si="5"/>
        <v>21.66666667</v>
      </c>
      <c r="L158" s="25">
        <f t="shared" si="6"/>
        <v>6500</v>
      </c>
      <c r="M158" s="1"/>
      <c r="N158" s="25">
        <v>23500.0</v>
      </c>
      <c r="O158" s="25">
        <v>30000.0</v>
      </c>
      <c r="P158" s="25">
        <f t="shared" ref="P158:Q158" si="187">N158</f>
        <v>23500</v>
      </c>
      <c r="Q158" s="25">
        <f t="shared" si="187"/>
        <v>30000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 t="s">
        <v>471</v>
      </c>
      <c r="B159" s="1">
        <f t="shared" si="3"/>
        <v>99</v>
      </c>
      <c r="C159" s="1">
        <f t="shared" si="4"/>
        <v>3</v>
      </c>
      <c r="D159" s="1" t="s">
        <v>338</v>
      </c>
      <c r="E159" s="1" t="s">
        <v>473</v>
      </c>
      <c r="F159" s="1" t="s">
        <v>568</v>
      </c>
      <c r="G159" s="1" t="s">
        <v>642</v>
      </c>
      <c r="H159" s="1"/>
      <c r="I159" s="25">
        <v>6500.0</v>
      </c>
      <c r="J159" s="25">
        <v>9000.0</v>
      </c>
      <c r="K159" s="5">
        <f t="shared" si="5"/>
        <v>27.77777778</v>
      </c>
      <c r="L159" s="25">
        <f t="shared" si="6"/>
        <v>2500</v>
      </c>
      <c r="M159" s="1"/>
      <c r="N159" s="25">
        <v>6500.0</v>
      </c>
      <c r="O159" s="25">
        <v>9000.0</v>
      </c>
      <c r="P159" s="25">
        <f t="shared" ref="P159:Q159" si="188">N159</f>
        <v>6500</v>
      </c>
      <c r="Q159" s="25">
        <f t="shared" si="188"/>
        <v>9000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 t="s">
        <v>471</v>
      </c>
      <c r="B160" s="1">
        <f t="shared" si="3"/>
        <v>100</v>
      </c>
      <c r="C160" s="1">
        <f t="shared" si="4"/>
        <v>3</v>
      </c>
      <c r="D160" s="1" t="s">
        <v>643</v>
      </c>
      <c r="E160" s="1" t="s">
        <v>473</v>
      </c>
      <c r="F160" s="1" t="s">
        <v>644</v>
      </c>
      <c r="G160" s="1" t="s">
        <v>645</v>
      </c>
      <c r="H160" s="1"/>
      <c r="I160" s="25">
        <v>43000.0</v>
      </c>
      <c r="J160" s="25">
        <v>50000.0</v>
      </c>
      <c r="K160" s="5">
        <f t="shared" si="5"/>
        <v>14</v>
      </c>
      <c r="L160" s="25">
        <f t="shared" si="6"/>
        <v>7000</v>
      </c>
      <c r="M160" s="1" t="s">
        <v>451</v>
      </c>
      <c r="N160" s="25">
        <f t="shared" ref="N160:O160" si="189">I160</f>
        <v>43000</v>
      </c>
      <c r="O160" s="25">
        <f t="shared" si="189"/>
        <v>50000</v>
      </c>
      <c r="P160" s="25">
        <f t="shared" ref="P160:Q160" si="190">N160</f>
        <v>43000</v>
      </c>
      <c r="Q160" s="25">
        <f t="shared" si="190"/>
        <v>50000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 t="s">
        <v>471</v>
      </c>
      <c r="B161" s="1">
        <f t="shared" si="3"/>
        <v>101</v>
      </c>
      <c r="C161" s="1">
        <f t="shared" si="4"/>
        <v>3</v>
      </c>
      <c r="D161" s="1" t="s">
        <v>286</v>
      </c>
      <c r="E161" s="1" t="s">
        <v>473</v>
      </c>
      <c r="F161" s="1" t="s">
        <v>644</v>
      </c>
      <c r="G161" s="1" t="s">
        <v>646</v>
      </c>
      <c r="H161" s="1"/>
      <c r="I161" s="25">
        <v>12000.0</v>
      </c>
      <c r="J161" s="25">
        <v>15000.0</v>
      </c>
      <c r="K161" s="5">
        <f t="shared" si="5"/>
        <v>20</v>
      </c>
      <c r="L161" s="25">
        <f t="shared" si="6"/>
        <v>3000</v>
      </c>
      <c r="M161" s="1"/>
      <c r="N161" s="25">
        <f t="shared" ref="N161:O161" si="191">I161</f>
        <v>12000</v>
      </c>
      <c r="O161" s="25">
        <f t="shared" si="191"/>
        <v>15000</v>
      </c>
      <c r="P161" s="25">
        <f t="shared" ref="P161:Q161" si="192">N161</f>
        <v>12000</v>
      </c>
      <c r="Q161" s="25">
        <f t="shared" si="192"/>
        <v>15000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 t="s">
        <v>471</v>
      </c>
      <c r="B162" s="1">
        <f t="shared" si="3"/>
        <v>102</v>
      </c>
      <c r="C162" s="1">
        <f t="shared" si="4"/>
        <v>3</v>
      </c>
      <c r="D162" s="1" t="s">
        <v>647</v>
      </c>
      <c r="E162" s="1" t="s">
        <v>473</v>
      </c>
      <c r="F162" s="1" t="s">
        <v>644</v>
      </c>
      <c r="G162" s="1" t="s">
        <v>648</v>
      </c>
      <c r="H162" s="1"/>
      <c r="I162" s="25">
        <v>12000.0</v>
      </c>
      <c r="J162" s="25">
        <v>15000.0</v>
      </c>
      <c r="K162" s="5">
        <f t="shared" si="5"/>
        <v>20</v>
      </c>
      <c r="L162" s="25">
        <f t="shared" si="6"/>
        <v>3000</v>
      </c>
      <c r="M162" s="1"/>
      <c r="N162" s="25">
        <f t="shared" ref="N162:O162" si="193">I162</f>
        <v>12000</v>
      </c>
      <c r="O162" s="25">
        <f t="shared" si="193"/>
        <v>15000</v>
      </c>
      <c r="P162" s="25">
        <f t="shared" ref="P162:Q162" si="194">N162</f>
        <v>12000</v>
      </c>
      <c r="Q162" s="25">
        <f t="shared" si="194"/>
        <v>15000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 t="s">
        <v>471</v>
      </c>
      <c r="B163" s="1">
        <f t="shared" si="3"/>
        <v>103</v>
      </c>
      <c r="C163" s="1">
        <f t="shared" si="4"/>
        <v>3</v>
      </c>
      <c r="D163" s="1" t="s">
        <v>308</v>
      </c>
      <c r="E163" s="1" t="s">
        <v>473</v>
      </c>
      <c r="F163" s="1" t="s">
        <v>644</v>
      </c>
      <c r="G163" s="1" t="s">
        <v>649</v>
      </c>
      <c r="H163" s="1"/>
      <c r="I163" s="25">
        <v>15000.0</v>
      </c>
      <c r="J163" s="25">
        <v>19000.0</v>
      </c>
      <c r="K163" s="5">
        <f t="shared" si="5"/>
        <v>21.05263158</v>
      </c>
      <c r="L163" s="25">
        <f t="shared" si="6"/>
        <v>4000</v>
      </c>
      <c r="M163" s="1"/>
      <c r="N163" s="25">
        <f t="shared" ref="N163:O163" si="195">I163</f>
        <v>15000</v>
      </c>
      <c r="O163" s="25">
        <f t="shared" si="195"/>
        <v>19000</v>
      </c>
      <c r="P163" s="25">
        <f t="shared" ref="P163:Q163" si="196">N163</f>
        <v>15000</v>
      </c>
      <c r="Q163" s="25">
        <f t="shared" si="196"/>
        <v>19000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 t="s">
        <v>471</v>
      </c>
      <c r="B164" s="1">
        <f t="shared" si="3"/>
        <v>104</v>
      </c>
      <c r="C164" s="1">
        <f t="shared" si="4"/>
        <v>3</v>
      </c>
      <c r="D164" s="1" t="s">
        <v>650</v>
      </c>
      <c r="E164" s="1" t="s">
        <v>473</v>
      </c>
      <c r="F164" s="1" t="s">
        <v>644</v>
      </c>
      <c r="G164" s="35" t="s">
        <v>651</v>
      </c>
      <c r="H164" s="1"/>
      <c r="I164" s="25">
        <v>20000.0</v>
      </c>
      <c r="J164" s="25">
        <v>25000.0</v>
      </c>
      <c r="K164" s="5">
        <f t="shared" si="5"/>
        <v>20</v>
      </c>
      <c r="L164" s="25">
        <f t="shared" si="6"/>
        <v>5000</v>
      </c>
      <c r="M164" s="1" t="s">
        <v>451</v>
      </c>
      <c r="N164" s="25">
        <f t="shared" ref="N164:O164" si="197">I164</f>
        <v>20000</v>
      </c>
      <c r="O164" s="25">
        <f t="shared" si="197"/>
        <v>25000</v>
      </c>
      <c r="P164" s="25">
        <f t="shared" ref="P164:Q164" si="198">N164</f>
        <v>20000</v>
      </c>
      <c r="Q164" s="25">
        <f t="shared" si="198"/>
        <v>25000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 t="s">
        <v>471</v>
      </c>
      <c r="B165" s="1">
        <f t="shared" si="3"/>
        <v>105</v>
      </c>
      <c r="C165" s="1">
        <f t="shared" si="4"/>
        <v>3</v>
      </c>
      <c r="D165" s="1" t="s">
        <v>351</v>
      </c>
      <c r="E165" s="1" t="s">
        <v>473</v>
      </c>
      <c r="F165" s="1" t="s">
        <v>644</v>
      </c>
      <c r="G165" s="1" t="s">
        <v>652</v>
      </c>
      <c r="H165" s="1"/>
      <c r="I165" s="25">
        <v>3500.0</v>
      </c>
      <c r="J165" s="25">
        <v>5000.0</v>
      </c>
      <c r="K165" s="5">
        <f t="shared" si="5"/>
        <v>30</v>
      </c>
      <c r="L165" s="25">
        <f t="shared" si="6"/>
        <v>1500</v>
      </c>
      <c r="M165" s="1"/>
      <c r="N165" s="25">
        <f t="shared" ref="N165:N171" si="200">I165</f>
        <v>3500</v>
      </c>
      <c r="O165" s="25">
        <v>5000.0</v>
      </c>
      <c r="P165" s="25">
        <f t="shared" ref="P165:Q165" si="199">N165</f>
        <v>3500</v>
      </c>
      <c r="Q165" s="25">
        <f t="shared" si="199"/>
        <v>5000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 t="s">
        <v>471</v>
      </c>
      <c r="B166" s="1">
        <f t="shared" si="3"/>
        <v>106</v>
      </c>
      <c r="C166" s="1">
        <f t="shared" si="4"/>
        <v>3</v>
      </c>
      <c r="D166" s="1" t="s">
        <v>653</v>
      </c>
      <c r="E166" s="1" t="s">
        <v>473</v>
      </c>
      <c r="F166" s="1" t="s">
        <v>644</v>
      </c>
      <c r="G166" s="1" t="s">
        <v>654</v>
      </c>
      <c r="H166" s="1"/>
      <c r="I166" s="25">
        <v>25000.0</v>
      </c>
      <c r="J166" s="25">
        <v>30000.0</v>
      </c>
      <c r="K166" s="5">
        <f t="shared" si="5"/>
        <v>16.66666667</v>
      </c>
      <c r="L166" s="25">
        <f t="shared" si="6"/>
        <v>5000</v>
      </c>
      <c r="M166" s="1" t="s">
        <v>451</v>
      </c>
      <c r="N166" s="25">
        <f t="shared" si="200"/>
        <v>25000</v>
      </c>
      <c r="O166" s="25">
        <v>30000.0</v>
      </c>
      <c r="P166" s="25">
        <f t="shared" ref="P166:Q166" si="201">N166</f>
        <v>25000</v>
      </c>
      <c r="Q166" s="25">
        <f t="shared" si="201"/>
        <v>30000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 t="s">
        <v>471</v>
      </c>
      <c r="B167" s="1">
        <f t="shared" si="3"/>
        <v>107</v>
      </c>
      <c r="C167" s="1">
        <f t="shared" si="4"/>
        <v>3</v>
      </c>
      <c r="D167" s="1" t="s">
        <v>655</v>
      </c>
      <c r="E167" s="1" t="s">
        <v>473</v>
      </c>
      <c r="F167" s="1" t="s">
        <v>644</v>
      </c>
      <c r="G167" s="1" t="s">
        <v>656</v>
      </c>
      <c r="H167" s="1"/>
      <c r="I167" s="25">
        <v>4000.0</v>
      </c>
      <c r="J167" s="25">
        <v>5000.0</v>
      </c>
      <c r="K167" s="5">
        <f t="shared" si="5"/>
        <v>20</v>
      </c>
      <c r="L167" s="25">
        <f t="shared" si="6"/>
        <v>1000</v>
      </c>
      <c r="M167" s="1"/>
      <c r="N167" s="25">
        <f t="shared" si="200"/>
        <v>4000</v>
      </c>
      <c r="O167" s="25">
        <v>5000.0</v>
      </c>
      <c r="P167" s="25">
        <f t="shared" ref="P167:Q167" si="202">N167</f>
        <v>4000</v>
      </c>
      <c r="Q167" s="25">
        <f t="shared" si="202"/>
        <v>5000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 t="s">
        <v>471</v>
      </c>
      <c r="B168" s="1">
        <f t="shared" si="3"/>
        <v>108</v>
      </c>
      <c r="C168" s="1">
        <f t="shared" si="4"/>
        <v>3</v>
      </c>
      <c r="D168" s="1" t="s">
        <v>657</v>
      </c>
      <c r="E168" s="1" t="s">
        <v>473</v>
      </c>
      <c r="F168" s="1" t="s">
        <v>644</v>
      </c>
      <c r="G168" s="1" t="s">
        <v>658</v>
      </c>
      <c r="H168" s="1"/>
      <c r="I168" s="25">
        <v>25000.0</v>
      </c>
      <c r="J168" s="25">
        <v>30000.0</v>
      </c>
      <c r="K168" s="5">
        <f t="shared" si="5"/>
        <v>16.66666667</v>
      </c>
      <c r="L168" s="25">
        <f t="shared" si="6"/>
        <v>5000</v>
      </c>
      <c r="M168" s="1" t="s">
        <v>451</v>
      </c>
      <c r="N168" s="25">
        <f t="shared" si="200"/>
        <v>25000</v>
      </c>
      <c r="O168" s="25">
        <v>30000.0</v>
      </c>
      <c r="P168" s="25">
        <f t="shared" ref="P168:Q168" si="203">N168</f>
        <v>25000</v>
      </c>
      <c r="Q168" s="25">
        <f t="shared" si="203"/>
        <v>30000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 t="s">
        <v>471</v>
      </c>
      <c r="B169" s="1">
        <f t="shared" si="3"/>
        <v>109</v>
      </c>
      <c r="C169" s="1">
        <f t="shared" si="4"/>
        <v>3</v>
      </c>
      <c r="D169" s="1" t="s">
        <v>181</v>
      </c>
      <c r="E169" s="1" t="s">
        <v>473</v>
      </c>
      <c r="F169" s="1" t="s">
        <v>644</v>
      </c>
      <c r="G169" s="1" t="s">
        <v>659</v>
      </c>
      <c r="H169" s="1"/>
      <c r="I169" s="25">
        <v>3500.0</v>
      </c>
      <c r="J169" s="25">
        <v>5000.0</v>
      </c>
      <c r="K169" s="5">
        <f t="shared" si="5"/>
        <v>30</v>
      </c>
      <c r="L169" s="25">
        <f t="shared" si="6"/>
        <v>1500</v>
      </c>
      <c r="M169" s="1"/>
      <c r="N169" s="25">
        <f t="shared" si="200"/>
        <v>3500</v>
      </c>
      <c r="O169" s="25">
        <v>5000.0</v>
      </c>
      <c r="P169" s="25">
        <f t="shared" ref="P169:Q169" si="204">N169</f>
        <v>3500</v>
      </c>
      <c r="Q169" s="25">
        <f t="shared" si="204"/>
        <v>5000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 t="s">
        <v>471</v>
      </c>
      <c r="B170" s="1">
        <f t="shared" si="3"/>
        <v>110</v>
      </c>
      <c r="C170" s="1">
        <f t="shared" si="4"/>
        <v>3</v>
      </c>
      <c r="D170" s="1" t="s">
        <v>660</v>
      </c>
      <c r="E170" s="1" t="s">
        <v>473</v>
      </c>
      <c r="F170" s="1" t="s">
        <v>644</v>
      </c>
      <c r="G170" s="1" t="s">
        <v>661</v>
      </c>
      <c r="H170" s="1"/>
      <c r="I170" s="25">
        <v>25000.0</v>
      </c>
      <c r="J170" s="25">
        <v>30000.0</v>
      </c>
      <c r="K170" s="5">
        <f t="shared" si="5"/>
        <v>16.66666667</v>
      </c>
      <c r="L170" s="25">
        <f t="shared" si="6"/>
        <v>5000</v>
      </c>
      <c r="M170" s="1" t="s">
        <v>451</v>
      </c>
      <c r="N170" s="25">
        <f t="shared" si="200"/>
        <v>25000</v>
      </c>
      <c r="O170" s="25">
        <v>30000.0</v>
      </c>
      <c r="P170" s="25">
        <f t="shared" ref="P170:Q170" si="205">N170</f>
        <v>25000</v>
      </c>
      <c r="Q170" s="25">
        <f t="shared" si="205"/>
        <v>30000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 t="s">
        <v>471</v>
      </c>
      <c r="B171" s="1">
        <f t="shared" si="3"/>
        <v>111</v>
      </c>
      <c r="C171" s="1">
        <f t="shared" si="4"/>
        <v>3</v>
      </c>
      <c r="D171" s="1" t="s">
        <v>295</v>
      </c>
      <c r="E171" s="1" t="s">
        <v>473</v>
      </c>
      <c r="F171" s="1" t="s">
        <v>644</v>
      </c>
      <c r="G171" s="1" t="s">
        <v>662</v>
      </c>
      <c r="H171" s="1"/>
      <c r="I171" s="25">
        <v>3500.0</v>
      </c>
      <c r="J171" s="25">
        <v>5000.0</v>
      </c>
      <c r="K171" s="5">
        <f t="shared" si="5"/>
        <v>30</v>
      </c>
      <c r="L171" s="25">
        <f t="shared" si="6"/>
        <v>1500</v>
      </c>
      <c r="M171" s="1"/>
      <c r="N171" s="25">
        <f t="shared" si="200"/>
        <v>3500</v>
      </c>
      <c r="O171" s="25">
        <v>5000.0</v>
      </c>
      <c r="P171" s="25">
        <f t="shared" ref="P171:Q171" si="206">N171</f>
        <v>3500</v>
      </c>
      <c r="Q171" s="25">
        <f t="shared" si="206"/>
        <v>5000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 t="s">
        <v>631</v>
      </c>
      <c r="B172" s="1">
        <f t="shared" si="3"/>
        <v>112</v>
      </c>
      <c r="C172" s="1">
        <f t="shared" si="4"/>
        <v>3</v>
      </c>
      <c r="D172" s="1" t="s">
        <v>663</v>
      </c>
      <c r="E172" s="1" t="s">
        <v>473</v>
      </c>
      <c r="F172" s="1" t="s">
        <v>644</v>
      </c>
      <c r="G172" s="1" t="s">
        <v>664</v>
      </c>
      <c r="H172" s="1"/>
      <c r="I172" s="25">
        <v>25000.0</v>
      </c>
      <c r="J172" s="25">
        <v>30000.0</v>
      </c>
      <c r="K172" s="5">
        <f t="shared" si="5"/>
        <v>16.66666667</v>
      </c>
      <c r="L172" s="25">
        <f t="shared" si="6"/>
        <v>5000</v>
      </c>
      <c r="M172" s="1"/>
      <c r="N172" s="25">
        <v>25000.0</v>
      </c>
      <c r="O172" s="25">
        <v>30000.0</v>
      </c>
      <c r="P172" s="25">
        <f t="shared" ref="P172:Q172" si="207">N172</f>
        <v>25000</v>
      </c>
      <c r="Q172" s="25">
        <f t="shared" si="207"/>
        <v>30000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 t="s">
        <v>471</v>
      </c>
      <c r="B173" s="1">
        <f t="shared" si="3"/>
        <v>113</v>
      </c>
      <c r="C173" s="1">
        <f t="shared" si="4"/>
        <v>3</v>
      </c>
      <c r="D173" s="1" t="s">
        <v>35</v>
      </c>
      <c r="E173" s="1" t="s">
        <v>473</v>
      </c>
      <c r="F173" s="1" t="s">
        <v>644</v>
      </c>
      <c r="G173" s="1" t="s">
        <v>665</v>
      </c>
      <c r="H173" s="1"/>
      <c r="I173" s="25">
        <v>3500.0</v>
      </c>
      <c r="J173" s="25">
        <v>5000.0</v>
      </c>
      <c r="K173" s="5">
        <f t="shared" si="5"/>
        <v>30</v>
      </c>
      <c r="L173" s="25">
        <f t="shared" si="6"/>
        <v>1500</v>
      </c>
      <c r="M173" s="1"/>
      <c r="N173" s="25">
        <f t="shared" ref="N173:N182" si="209">I173</f>
        <v>3500</v>
      </c>
      <c r="O173" s="25">
        <v>5000.0</v>
      </c>
      <c r="P173" s="25">
        <f t="shared" ref="P173:Q173" si="208">N173</f>
        <v>3500</v>
      </c>
      <c r="Q173" s="25">
        <f t="shared" si="208"/>
        <v>5000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 t="s">
        <v>471</v>
      </c>
      <c r="B174" s="1">
        <f t="shared" si="3"/>
        <v>114</v>
      </c>
      <c r="C174" s="1">
        <f t="shared" si="4"/>
        <v>3</v>
      </c>
      <c r="D174" s="1" t="s">
        <v>666</v>
      </c>
      <c r="E174" s="1" t="s">
        <v>473</v>
      </c>
      <c r="F174" s="1" t="s">
        <v>644</v>
      </c>
      <c r="G174" s="1" t="s">
        <v>667</v>
      </c>
      <c r="H174" s="1"/>
      <c r="I174" s="25">
        <v>25000.0</v>
      </c>
      <c r="J174" s="25">
        <v>30000.0</v>
      </c>
      <c r="K174" s="5">
        <f t="shared" si="5"/>
        <v>16.66666667</v>
      </c>
      <c r="L174" s="25">
        <f t="shared" si="6"/>
        <v>5000</v>
      </c>
      <c r="M174" s="1" t="s">
        <v>451</v>
      </c>
      <c r="N174" s="25">
        <f t="shared" si="209"/>
        <v>25000</v>
      </c>
      <c r="O174" s="25">
        <v>30000.0</v>
      </c>
      <c r="P174" s="25">
        <f t="shared" ref="P174:Q174" si="210">N174</f>
        <v>25000</v>
      </c>
      <c r="Q174" s="25">
        <f t="shared" si="210"/>
        <v>30000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 t="s">
        <v>471</v>
      </c>
      <c r="B175" s="1">
        <f t="shared" si="3"/>
        <v>115</v>
      </c>
      <c r="C175" s="1">
        <f t="shared" si="4"/>
        <v>3</v>
      </c>
      <c r="D175" s="1" t="s">
        <v>30</v>
      </c>
      <c r="E175" s="1" t="s">
        <v>473</v>
      </c>
      <c r="F175" s="1" t="s">
        <v>644</v>
      </c>
      <c r="G175" s="1" t="s">
        <v>668</v>
      </c>
      <c r="H175" s="1"/>
      <c r="I175" s="25">
        <v>500.0</v>
      </c>
      <c r="J175" s="25">
        <v>1000.0</v>
      </c>
      <c r="K175" s="5">
        <f t="shared" si="5"/>
        <v>50</v>
      </c>
      <c r="L175" s="25">
        <f t="shared" si="6"/>
        <v>500</v>
      </c>
      <c r="M175" s="1"/>
      <c r="N175" s="25">
        <f t="shared" si="209"/>
        <v>500</v>
      </c>
      <c r="O175" s="25">
        <v>1000.0</v>
      </c>
      <c r="P175" s="25">
        <f t="shared" ref="P175:Q175" si="211">N175</f>
        <v>500</v>
      </c>
      <c r="Q175" s="25">
        <f t="shared" si="211"/>
        <v>1000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 t="s">
        <v>471</v>
      </c>
      <c r="B176" s="1">
        <f t="shared" si="3"/>
        <v>116</v>
      </c>
      <c r="C176" s="1">
        <f t="shared" si="4"/>
        <v>3</v>
      </c>
      <c r="D176" s="1" t="s">
        <v>669</v>
      </c>
      <c r="E176" s="1" t="s">
        <v>473</v>
      </c>
      <c r="F176" s="1" t="s">
        <v>644</v>
      </c>
      <c r="G176" s="1" t="s">
        <v>670</v>
      </c>
      <c r="H176" s="1"/>
      <c r="I176" s="25">
        <v>25000.0</v>
      </c>
      <c r="J176" s="25">
        <v>30000.0</v>
      </c>
      <c r="K176" s="5">
        <f t="shared" si="5"/>
        <v>16.66666667</v>
      </c>
      <c r="L176" s="25">
        <f t="shared" si="6"/>
        <v>5000</v>
      </c>
      <c r="M176" s="1" t="s">
        <v>451</v>
      </c>
      <c r="N176" s="25">
        <f t="shared" si="209"/>
        <v>25000</v>
      </c>
      <c r="O176" s="25">
        <v>30000.0</v>
      </c>
      <c r="P176" s="25">
        <f t="shared" ref="P176:Q176" si="212">N176</f>
        <v>25000</v>
      </c>
      <c r="Q176" s="25">
        <f t="shared" si="212"/>
        <v>30000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 t="s">
        <v>471</v>
      </c>
      <c r="B177" s="1">
        <f t="shared" si="3"/>
        <v>117</v>
      </c>
      <c r="C177" s="1">
        <f t="shared" si="4"/>
        <v>3</v>
      </c>
      <c r="D177" s="1" t="s">
        <v>31</v>
      </c>
      <c r="E177" s="1" t="s">
        <v>473</v>
      </c>
      <c r="F177" s="1" t="s">
        <v>644</v>
      </c>
      <c r="G177" s="1" t="s">
        <v>671</v>
      </c>
      <c r="H177" s="1"/>
      <c r="I177" s="25">
        <v>1316.0</v>
      </c>
      <c r="J177" s="25">
        <v>2000.0</v>
      </c>
      <c r="K177" s="5">
        <f t="shared" si="5"/>
        <v>34.2</v>
      </c>
      <c r="L177" s="25">
        <f t="shared" si="6"/>
        <v>684</v>
      </c>
      <c r="M177" s="1"/>
      <c r="N177" s="25">
        <f t="shared" si="209"/>
        <v>1316</v>
      </c>
      <c r="O177" s="25">
        <v>2000.0</v>
      </c>
      <c r="P177" s="25">
        <f t="shared" ref="P177:Q177" si="213">N177</f>
        <v>1316</v>
      </c>
      <c r="Q177" s="25">
        <f t="shared" si="213"/>
        <v>2000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 t="s">
        <v>631</v>
      </c>
      <c r="B178" s="1">
        <f t="shared" si="3"/>
        <v>118</v>
      </c>
      <c r="C178" s="1">
        <f t="shared" si="4"/>
        <v>3</v>
      </c>
      <c r="D178" s="1" t="s">
        <v>672</v>
      </c>
      <c r="E178" s="1" t="s">
        <v>473</v>
      </c>
      <c r="F178" s="1" t="s">
        <v>644</v>
      </c>
      <c r="G178" s="1" t="s">
        <v>673</v>
      </c>
      <c r="H178" s="1"/>
      <c r="I178" s="25">
        <v>25000.0</v>
      </c>
      <c r="J178" s="25">
        <v>30000.0</v>
      </c>
      <c r="K178" s="5">
        <f t="shared" si="5"/>
        <v>16.66666667</v>
      </c>
      <c r="L178" s="25">
        <f t="shared" si="6"/>
        <v>5000</v>
      </c>
      <c r="M178" s="1"/>
      <c r="N178" s="25">
        <f t="shared" si="209"/>
        <v>25000</v>
      </c>
      <c r="O178" s="25">
        <v>30000.0</v>
      </c>
      <c r="P178" s="25">
        <f t="shared" ref="P178:Q178" si="214">N178</f>
        <v>25000</v>
      </c>
      <c r="Q178" s="25">
        <f t="shared" si="214"/>
        <v>30000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 t="s">
        <v>471</v>
      </c>
      <c r="B179" s="1">
        <f t="shared" si="3"/>
        <v>119</v>
      </c>
      <c r="C179" s="1">
        <f t="shared" si="4"/>
        <v>3</v>
      </c>
      <c r="D179" s="1" t="s">
        <v>199</v>
      </c>
      <c r="E179" s="1" t="s">
        <v>473</v>
      </c>
      <c r="F179" s="1" t="s">
        <v>644</v>
      </c>
      <c r="G179" s="1" t="s">
        <v>674</v>
      </c>
      <c r="H179" s="1"/>
      <c r="I179" s="25">
        <v>12500.0</v>
      </c>
      <c r="J179" s="25">
        <v>15000.0</v>
      </c>
      <c r="K179" s="5">
        <f t="shared" si="5"/>
        <v>16.66666667</v>
      </c>
      <c r="L179" s="25">
        <f t="shared" si="6"/>
        <v>2500</v>
      </c>
      <c r="M179" s="1" t="s">
        <v>451</v>
      </c>
      <c r="N179" s="25">
        <f t="shared" si="209"/>
        <v>12500</v>
      </c>
      <c r="O179" s="25">
        <v>15000.0</v>
      </c>
      <c r="P179" s="25">
        <f t="shared" ref="P179:Q179" si="215">N179</f>
        <v>12500</v>
      </c>
      <c r="Q179" s="25">
        <f t="shared" si="215"/>
        <v>15000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 t="s">
        <v>471</v>
      </c>
      <c r="B180" s="1">
        <f t="shared" si="3"/>
        <v>120</v>
      </c>
      <c r="C180" s="1">
        <f t="shared" si="4"/>
        <v>3</v>
      </c>
      <c r="D180" s="1" t="s">
        <v>675</v>
      </c>
      <c r="E180" s="1" t="s">
        <v>473</v>
      </c>
      <c r="F180" s="1" t="s">
        <v>676</v>
      </c>
      <c r="G180" s="1" t="s">
        <v>677</v>
      </c>
      <c r="H180" s="1"/>
      <c r="I180" s="25">
        <f>15000/12</f>
        <v>1250</v>
      </c>
      <c r="J180" s="25">
        <v>2000.0</v>
      </c>
      <c r="K180" s="31">
        <f t="shared" si="5"/>
        <v>37.5</v>
      </c>
      <c r="L180" s="32">
        <f t="shared" si="6"/>
        <v>750</v>
      </c>
      <c r="M180" s="1" t="s">
        <v>451</v>
      </c>
      <c r="N180" s="25">
        <f t="shared" si="209"/>
        <v>1250</v>
      </c>
      <c r="O180" s="25">
        <f t="shared" ref="O180:O182" si="217">J180</f>
        <v>2000</v>
      </c>
      <c r="P180" s="25">
        <f t="shared" ref="P180:Q180" si="216">N180</f>
        <v>1250</v>
      </c>
      <c r="Q180" s="25">
        <f t="shared" si="216"/>
        <v>2000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 t="s">
        <v>471</v>
      </c>
      <c r="B181" s="1">
        <f t="shared" si="3"/>
        <v>121</v>
      </c>
      <c r="C181" s="1">
        <f t="shared" si="4"/>
        <v>3</v>
      </c>
      <c r="D181" s="1" t="s">
        <v>678</v>
      </c>
      <c r="E181" s="1" t="s">
        <v>473</v>
      </c>
      <c r="F181" s="1" t="s">
        <v>676</v>
      </c>
      <c r="G181" s="1" t="s">
        <v>679</v>
      </c>
      <c r="H181" s="1"/>
      <c r="I181" s="25">
        <f>16500/12</f>
        <v>1375</v>
      </c>
      <c r="J181" s="25">
        <v>2000.0</v>
      </c>
      <c r="K181" s="31">
        <f t="shared" si="5"/>
        <v>31.25</v>
      </c>
      <c r="L181" s="32">
        <f t="shared" si="6"/>
        <v>625</v>
      </c>
      <c r="M181" s="1" t="s">
        <v>451</v>
      </c>
      <c r="N181" s="25">
        <f t="shared" si="209"/>
        <v>1375</v>
      </c>
      <c r="O181" s="25">
        <f t="shared" si="217"/>
        <v>2000</v>
      </c>
      <c r="P181" s="25">
        <f t="shared" ref="P181:Q181" si="218">N181</f>
        <v>1375</v>
      </c>
      <c r="Q181" s="25">
        <f t="shared" si="218"/>
        <v>2000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 t="s">
        <v>471</v>
      </c>
      <c r="B182" s="1">
        <f t="shared" si="3"/>
        <v>122</v>
      </c>
      <c r="C182" s="1">
        <f t="shared" si="4"/>
        <v>3</v>
      </c>
      <c r="D182" s="1" t="s">
        <v>680</v>
      </c>
      <c r="E182" s="1" t="s">
        <v>473</v>
      </c>
      <c r="F182" s="1" t="s">
        <v>676</v>
      </c>
      <c r="G182" s="1" t="s">
        <v>681</v>
      </c>
      <c r="H182" s="1"/>
      <c r="I182" s="25">
        <v>2000.0</v>
      </c>
      <c r="J182" s="25">
        <v>2500.0</v>
      </c>
      <c r="K182" s="31">
        <f t="shared" si="5"/>
        <v>20</v>
      </c>
      <c r="L182" s="32">
        <f t="shared" si="6"/>
        <v>500</v>
      </c>
      <c r="M182" s="1" t="s">
        <v>451</v>
      </c>
      <c r="N182" s="25">
        <f t="shared" si="209"/>
        <v>2000</v>
      </c>
      <c r="O182" s="25">
        <f t="shared" si="217"/>
        <v>2500</v>
      </c>
      <c r="P182" s="25">
        <f t="shared" ref="P182:Q182" si="219">N182</f>
        <v>2000</v>
      </c>
      <c r="Q182" s="25">
        <f t="shared" si="219"/>
        <v>2500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 t="s">
        <v>471</v>
      </c>
      <c r="B183" s="1">
        <f t="shared" si="3"/>
        <v>123</v>
      </c>
      <c r="C183" s="1">
        <f t="shared" si="4"/>
        <v>3</v>
      </c>
      <c r="D183" s="1" t="s">
        <v>682</v>
      </c>
      <c r="E183" s="1" t="s">
        <v>473</v>
      </c>
      <c r="F183" s="1" t="s">
        <v>676</v>
      </c>
      <c r="G183" s="34" t="s">
        <v>683</v>
      </c>
      <c r="H183" s="1"/>
      <c r="I183" s="25"/>
      <c r="J183" s="25"/>
      <c r="K183" s="5"/>
      <c r="L183" s="25"/>
      <c r="M183" s="1"/>
      <c r="N183" s="25"/>
      <c r="O183" s="2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 t="s">
        <v>471</v>
      </c>
      <c r="B184" s="1">
        <f t="shared" si="3"/>
        <v>124</v>
      </c>
      <c r="C184" s="1">
        <f t="shared" si="4"/>
        <v>3</v>
      </c>
      <c r="D184" s="1" t="s">
        <v>684</v>
      </c>
      <c r="E184" s="1" t="s">
        <v>473</v>
      </c>
      <c r="F184" s="1" t="s">
        <v>676</v>
      </c>
      <c r="G184" s="34" t="s">
        <v>685</v>
      </c>
      <c r="H184" s="1"/>
      <c r="I184" s="25"/>
      <c r="J184" s="25"/>
      <c r="K184" s="5"/>
      <c r="L184" s="25"/>
      <c r="M184" s="1"/>
      <c r="N184" s="25"/>
      <c r="O184" s="2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 t="s">
        <v>471</v>
      </c>
      <c r="B185" s="1">
        <f t="shared" si="3"/>
        <v>125</v>
      </c>
      <c r="C185" s="1">
        <f t="shared" si="4"/>
        <v>3</v>
      </c>
      <c r="D185" s="1" t="s">
        <v>686</v>
      </c>
      <c r="E185" s="1" t="s">
        <v>473</v>
      </c>
      <c r="F185" s="1" t="s">
        <v>676</v>
      </c>
      <c r="G185" s="34" t="s">
        <v>687</v>
      </c>
      <c r="H185" s="1"/>
      <c r="I185" s="25"/>
      <c r="J185" s="25"/>
      <c r="K185" s="5"/>
      <c r="L185" s="25"/>
      <c r="M185" s="1"/>
      <c r="N185" s="25"/>
      <c r="O185" s="2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 t="s">
        <v>471</v>
      </c>
      <c r="B186" s="1">
        <f t="shared" si="3"/>
        <v>126</v>
      </c>
      <c r="C186" s="1">
        <f t="shared" si="4"/>
        <v>3</v>
      </c>
      <c r="D186" s="1" t="s">
        <v>688</v>
      </c>
      <c r="E186" s="1" t="s">
        <v>473</v>
      </c>
      <c r="F186" s="1" t="s">
        <v>676</v>
      </c>
      <c r="G186" s="1" t="s">
        <v>689</v>
      </c>
      <c r="H186" s="1"/>
      <c r="I186" s="25">
        <f>15000/12</f>
        <v>1250</v>
      </c>
      <c r="J186" s="25"/>
      <c r="K186" s="5"/>
      <c r="L186" s="25"/>
      <c r="M186" s="1"/>
      <c r="N186" s="25"/>
      <c r="O186" s="2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 t="s">
        <v>471</v>
      </c>
      <c r="B187" s="1">
        <f t="shared" si="3"/>
        <v>127</v>
      </c>
      <c r="C187" s="1">
        <f t="shared" si="4"/>
        <v>3</v>
      </c>
      <c r="D187" s="1" t="s">
        <v>690</v>
      </c>
      <c r="E187" s="1" t="s">
        <v>473</v>
      </c>
      <c r="F187" s="1" t="s">
        <v>676</v>
      </c>
      <c r="G187" s="1" t="s">
        <v>691</v>
      </c>
      <c r="H187" s="1"/>
      <c r="I187" s="25">
        <f>24000/12</f>
        <v>2000</v>
      </c>
      <c r="J187" s="25">
        <v>4000.0</v>
      </c>
      <c r="K187" s="5"/>
      <c r="L187" s="25"/>
      <c r="M187" s="1"/>
      <c r="N187" s="25">
        <f>24000/12</f>
        <v>2000</v>
      </c>
      <c r="O187" s="25">
        <v>4000.0</v>
      </c>
      <c r="P187" s="25">
        <f>24000/12</f>
        <v>2000</v>
      </c>
      <c r="Q187" s="25">
        <v>4000.0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 t="s">
        <v>471</v>
      </c>
      <c r="B188" s="1">
        <f t="shared" si="3"/>
        <v>128</v>
      </c>
      <c r="C188" s="1">
        <f t="shared" si="4"/>
        <v>3</v>
      </c>
      <c r="D188" s="1" t="s">
        <v>332</v>
      </c>
      <c r="E188" s="1" t="s">
        <v>473</v>
      </c>
      <c r="F188" s="1" t="s">
        <v>676</v>
      </c>
      <c r="G188" s="1" t="s">
        <v>692</v>
      </c>
      <c r="H188" s="1"/>
      <c r="I188" s="25">
        <v>3375.0</v>
      </c>
      <c r="J188" s="25">
        <v>5000.0</v>
      </c>
      <c r="K188" s="5">
        <f t="shared" ref="K188:K189" si="222">(J188-I188)/J188*100</f>
        <v>32.5</v>
      </c>
      <c r="L188" s="25">
        <f t="shared" ref="L188:L189" si="223">J188-I188</f>
        <v>1625</v>
      </c>
      <c r="M188" s="1"/>
      <c r="N188" s="25">
        <f t="shared" ref="N188:O188" si="220">I188</f>
        <v>3375</v>
      </c>
      <c r="O188" s="25">
        <f t="shared" si="220"/>
        <v>5000</v>
      </c>
      <c r="P188" s="25">
        <f t="shared" ref="P188:Q188" si="221">N188</f>
        <v>3375</v>
      </c>
      <c r="Q188" s="25">
        <f t="shared" si="221"/>
        <v>5000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 t="s">
        <v>471</v>
      </c>
      <c r="B189" s="1">
        <f t="shared" si="3"/>
        <v>129</v>
      </c>
      <c r="C189" s="1">
        <f t="shared" si="4"/>
        <v>3</v>
      </c>
      <c r="D189" s="1" t="s">
        <v>693</v>
      </c>
      <c r="E189" s="1" t="s">
        <v>473</v>
      </c>
      <c r="F189" s="1" t="s">
        <v>676</v>
      </c>
      <c r="G189" s="1" t="s">
        <v>694</v>
      </c>
      <c r="H189" s="1"/>
      <c r="I189" s="25">
        <v>3750.0</v>
      </c>
      <c r="J189" s="25">
        <v>5000.0</v>
      </c>
      <c r="K189" s="5">
        <f t="shared" si="222"/>
        <v>25</v>
      </c>
      <c r="L189" s="25">
        <f t="shared" si="223"/>
        <v>1250</v>
      </c>
      <c r="M189" s="1"/>
      <c r="N189" s="25">
        <f t="shared" ref="N189:O189" si="224">I189</f>
        <v>3750</v>
      </c>
      <c r="O189" s="25">
        <f t="shared" si="224"/>
        <v>5000</v>
      </c>
      <c r="P189" s="25">
        <f t="shared" ref="P189:Q189" si="225">N189</f>
        <v>3750</v>
      </c>
      <c r="Q189" s="25">
        <f t="shared" si="225"/>
        <v>5000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 t="s">
        <v>471</v>
      </c>
      <c r="B190" s="1">
        <f t="shared" si="3"/>
        <v>130</v>
      </c>
      <c r="C190" s="1">
        <f t="shared" si="4"/>
        <v>3</v>
      </c>
      <c r="D190" s="1" t="s">
        <v>695</v>
      </c>
      <c r="E190" s="1" t="s">
        <v>473</v>
      </c>
      <c r="F190" s="1" t="s">
        <v>676</v>
      </c>
      <c r="G190" s="1" t="s">
        <v>696</v>
      </c>
      <c r="H190" s="1"/>
      <c r="I190" s="25">
        <f>27000/12</f>
        <v>2250</v>
      </c>
      <c r="J190" s="25">
        <v>4000.0</v>
      </c>
      <c r="K190" s="31"/>
      <c r="L190" s="32"/>
      <c r="M190" s="1"/>
      <c r="N190" s="25">
        <f>27000/12</f>
        <v>2250</v>
      </c>
      <c r="O190" s="25">
        <v>4000.0</v>
      </c>
      <c r="P190" s="25">
        <f>27000/12</f>
        <v>2250</v>
      </c>
      <c r="Q190" s="25">
        <v>4000.0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 t="s">
        <v>471</v>
      </c>
      <c r="B191" s="1">
        <f t="shared" si="3"/>
        <v>131</v>
      </c>
      <c r="C191" s="1">
        <f t="shared" si="4"/>
        <v>3</v>
      </c>
      <c r="D191" s="1" t="s">
        <v>697</v>
      </c>
      <c r="E191" s="1" t="s">
        <v>473</v>
      </c>
      <c r="F191" s="1" t="s">
        <v>676</v>
      </c>
      <c r="G191" s="1" t="s">
        <v>698</v>
      </c>
      <c r="H191" s="1"/>
      <c r="I191" s="25">
        <v>3000.0</v>
      </c>
      <c r="J191" s="25"/>
      <c r="K191" s="5"/>
      <c r="L191" s="25"/>
      <c r="M191" s="1"/>
      <c r="N191" s="25"/>
      <c r="O191" s="2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 t="s">
        <v>471</v>
      </c>
      <c r="B192" s="1">
        <f t="shared" si="3"/>
        <v>132</v>
      </c>
      <c r="C192" s="1">
        <f t="shared" si="4"/>
        <v>3</v>
      </c>
      <c r="D192" s="1" t="s">
        <v>699</v>
      </c>
      <c r="E192" s="1" t="s">
        <v>473</v>
      </c>
      <c r="F192" s="1" t="s">
        <v>676</v>
      </c>
      <c r="G192" s="1" t="s">
        <v>700</v>
      </c>
      <c r="H192" s="1"/>
      <c r="I192" s="25">
        <v>3750.0</v>
      </c>
      <c r="J192" s="25">
        <v>5500.0</v>
      </c>
      <c r="K192" s="31">
        <f t="shared" ref="K192:K195" si="228">(J192-I192)/J192*100</f>
        <v>31.81818182</v>
      </c>
      <c r="L192" s="32">
        <f t="shared" ref="L192:L195" si="229">J192-I192</f>
        <v>1750</v>
      </c>
      <c r="M192" s="1" t="s">
        <v>451</v>
      </c>
      <c r="N192" s="25">
        <f t="shared" ref="N192:O192" si="226">I192</f>
        <v>3750</v>
      </c>
      <c r="O192" s="25">
        <f t="shared" si="226"/>
        <v>5500</v>
      </c>
      <c r="P192" s="25">
        <f t="shared" ref="P192:Q192" si="227">N192</f>
        <v>3750</v>
      </c>
      <c r="Q192" s="25">
        <f t="shared" si="227"/>
        <v>5500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 t="s">
        <v>471</v>
      </c>
      <c r="B193" s="1">
        <f t="shared" si="3"/>
        <v>133</v>
      </c>
      <c r="C193" s="1">
        <f t="shared" si="4"/>
        <v>3</v>
      </c>
      <c r="D193" s="1" t="s">
        <v>701</v>
      </c>
      <c r="E193" s="1" t="s">
        <v>473</v>
      </c>
      <c r="F193" s="1" t="s">
        <v>676</v>
      </c>
      <c r="G193" s="1" t="s">
        <v>702</v>
      </c>
      <c r="H193" s="1"/>
      <c r="I193" s="25">
        <v>4750.0</v>
      </c>
      <c r="J193" s="25">
        <v>6500.0</v>
      </c>
      <c r="K193" s="5">
        <f t="shared" si="228"/>
        <v>26.92307692</v>
      </c>
      <c r="L193" s="25">
        <f t="shared" si="229"/>
        <v>1750</v>
      </c>
      <c r="M193" s="1"/>
      <c r="N193" s="25">
        <f t="shared" ref="N193:O193" si="230">I193</f>
        <v>4750</v>
      </c>
      <c r="O193" s="25">
        <f t="shared" si="230"/>
        <v>6500</v>
      </c>
      <c r="P193" s="25">
        <f t="shared" ref="P193:Q193" si="231">N193</f>
        <v>4750</v>
      </c>
      <c r="Q193" s="25">
        <f t="shared" si="231"/>
        <v>6500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 t="s">
        <v>471</v>
      </c>
      <c r="B194" s="1">
        <f t="shared" si="3"/>
        <v>134</v>
      </c>
      <c r="C194" s="1">
        <f t="shared" si="4"/>
        <v>3</v>
      </c>
      <c r="D194" s="1" t="s">
        <v>703</v>
      </c>
      <c r="E194" s="1" t="s">
        <v>473</v>
      </c>
      <c r="F194" s="1" t="s">
        <v>676</v>
      </c>
      <c r="G194" s="1" t="s">
        <v>704</v>
      </c>
      <c r="H194" s="1"/>
      <c r="I194" s="25">
        <v>10000.0</v>
      </c>
      <c r="J194" s="25">
        <v>14000.0</v>
      </c>
      <c r="K194" s="31">
        <f t="shared" si="228"/>
        <v>28.57142857</v>
      </c>
      <c r="L194" s="32">
        <f t="shared" si="229"/>
        <v>4000</v>
      </c>
      <c r="M194" s="1" t="s">
        <v>451</v>
      </c>
      <c r="N194" s="25">
        <f t="shared" ref="N194:O194" si="232">I194</f>
        <v>10000</v>
      </c>
      <c r="O194" s="25">
        <f t="shared" si="232"/>
        <v>14000</v>
      </c>
      <c r="P194" s="25">
        <f t="shared" ref="P194:Q194" si="233">N194</f>
        <v>10000</v>
      </c>
      <c r="Q194" s="25">
        <f t="shared" si="233"/>
        <v>14000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 t="s">
        <v>471</v>
      </c>
      <c r="B195" s="1">
        <f t="shared" si="3"/>
        <v>135</v>
      </c>
      <c r="C195" s="1">
        <f t="shared" si="4"/>
        <v>3</v>
      </c>
      <c r="D195" s="1" t="s">
        <v>705</v>
      </c>
      <c r="E195" s="1" t="s">
        <v>473</v>
      </c>
      <c r="F195" s="1" t="s">
        <v>676</v>
      </c>
      <c r="G195" s="1" t="s">
        <v>706</v>
      </c>
      <c r="H195" s="1"/>
      <c r="I195" s="25">
        <v>6166.67</v>
      </c>
      <c r="J195" s="25">
        <v>8000.0</v>
      </c>
      <c r="K195" s="5">
        <f t="shared" si="228"/>
        <v>22.916625</v>
      </c>
      <c r="L195" s="25">
        <f t="shared" si="229"/>
        <v>1833.33</v>
      </c>
      <c r="M195" s="1"/>
      <c r="N195" s="25">
        <v>6166.67</v>
      </c>
      <c r="O195" s="25">
        <v>8000.0</v>
      </c>
      <c r="P195" s="25">
        <f t="shared" ref="P195:Q195" si="234">N195</f>
        <v>6166.67</v>
      </c>
      <c r="Q195" s="25">
        <f t="shared" si="234"/>
        <v>8000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 t="s">
        <v>471</v>
      </c>
      <c r="B196" s="1">
        <f t="shared" si="3"/>
        <v>136</v>
      </c>
      <c r="C196" s="1">
        <f t="shared" si="4"/>
        <v>3</v>
      </c>
      <c r="D196" s="1" t="s">
        <v>707</v>
      </c>
      <c r="E196" s="1" t="s">
        <v>473</v>
      </c>
      <c r="F196" s="1" t="s">
        <v>676</v>
      </c>
      <c r="G196" s="1" t="s">
        <v>708</v>
      </c>
      <c r="H196" s="1"/>
      <c r="I196" s="25">
        <v>5875.0</v>
      </c>
      <c r="J196" s="25">
        <v>8000.0</v>
      </c>
      <c r="K196" s="5"/>
      <c r="L196" s="25"/>
      <c r="M196" s="1"/>
      <c r="N196" s="25"/>
      <c r="O196" s="25">
        <f t="shared" ref="O196:O198" si="235">J196</f>
        <v>8000</v>
      </c>
      <c r="P196" s="1"/>
      <c r="Q196" s="25">
        <f t="shared" ref="Q196:Q199" si="236">O196</f>
        <v>8000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 t="s">
        <v>471</v>
      </c>
      <c r="B197" s="1">
        <f t="shared" si="3"/>
        <v>137</v>
      </c>
      <c r="C197" s="1">
        <f t="shared" si="4"/>
        <v>3</v>
      </c>
      <c r="D197" s="1" t="s">
        <v>709</v>
      </c>
      <c r="E197" s="1" t="s">
        <v>473</v>
      </c>
      <c r="F197" s="1" t="s">
        <v>676</v>
      </c>
      <c r="G197" s="1" t="s">
        <v>710</v>
      </c>
      <c r="H197" s="1"/>
      <c r="I197" s="25">
        <v>8000.0</v>
      </c>
      <c r="J197" s="25"/>
      <c r="K197" s="5"/>
      <c r="L197" s="25"/>
      <c r="M197" s="1"/>
      <c r="N197" s="25"/>
      <c r="O197" s="25" t="str">
        <f t="shared" si="235"/>
        <v/>
      </c>
      <c r="P197" s="1"/>
      <c r="Q197" s="25" t="str">
        <f t="shared" si="236"/>
        <v/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 t="s">
        <v>471</v>
      </c>
      <c r="B198" s="1">
        <f t="shared" si="3"/>
        <v>138</v>
      </c>
      <c r="C198" s="1">
        <f t="shared" si="4"/>
        <v>3</v>
      </c>
      <c r="D198" s="1" t="s">
        <v>141</v>
      </c>
      <c r="E198" s="1" t="s">
        <v>473</v>
      </c>
      <c r="F198" s="1" t="s">
        <v>676</v>
      </c>
      <c r="G198" s="1" t="s">
        <v>711</v>
      </c>
      <c r="H198" s="1"/>
      <c r="I198" s="25">
        <v>8750.0</v>
      </c>
      <c r="J198" s="25">
        <v>12000.0</v>
      </c>
      <c r="K198" s="5"/>
      <c r="L198" s="25"/>
      <c r="M198" s="1"/>
      <c r="N198" s="25"/>
      <c r="O198" s="25">
        <f t="shared" si="235"/>
        <v>12000</v>
      </c>
      <c r="P198" s="1"/>
      <c r="Q198" s="25">
        <f t="shared" si="236"/>
        <v>12000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 t="s">
        <v>471</v>
      </c>
      <c r="B199" s="1">
        <f t="shared" si="3"/>
        <v>139</v>
      </c>
      <c r="C199" s="1">
        <f t="shared" si="4"/>
        <v>3</v>
      </c>
      <c r="D199" s="1" t="s">
        <v>142</v>
      </c>
      <c r="E199" s="1" t="s">
        <v>473</v>
      </c>
      <c r="F199" s="1" t="s">
        <v>676</v>
      </c>
      <c r="G199" s="1" t="s">
        <v>712</v>
      </c>
      <c r="H199" s="1"/>
      <c r="I199" s="25">
        <v>12000.0</v>
      </c>
      <c r="J199" s="25"/>
      <c r="K199" s="5"/>
      <c r="L199" s="25"/>
      <c r="M199" s="1"/>
      <c r="N199" s="25"/>
      <c r="O199" s="25"/>
      <c r="P199" s="1"/>
      <c r="Q199" s="25" t="str">
        <f t="shared" si="236"/>
        <v/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 t="s">
        <v>471</v>
      </c>
      <c r="B200" s="1">
        <f t="shared" si="3"/>
        <v>140</v>
      </c>
      <c r="C200" s="1">
        <f t="shared" si="4"/>
        <v>3</v>
      </c>
      <c r="D200" s="1" t="s">
        <v>713</v>
      </c>
      <c r="E200" s="1" t="s">
        <v>473</v>
      </c>
      <c r="F200" s="1" t="s">
        <v>676</v>
      </c>
      <c r="G200" s="1" t="s">
        <v>714</v>
      </c>
      <c r="H200" s="1"/>
      <c r="I200" s="25">
        <f>30000/12</f>
        <v>2500</v>
      </c>
      <c r="J200" s="25">
        <v>4000.0</v>
      </c>
      <c r="K200" s="5">
        <f t="shared" ref="K200:K204" si="238">(J200-I200)/J200*100</f>
        <v>37.5</v>
      </c>
      <c r="L200" s="25">
        <f t="shared" ref="L200:L204" si="239">J200-I200</f>
        <v>1500</v>
      </c>
      <c r="M200" s="1" t="s">
        <v>451</v>
      </c>
      <c r="N200" s="25">
        <v>2500.0</v>
      </c>
      <c r="O200" s="25">
        <v>4000.0</v>
      </c>
      <c r="P200" s="25">
        <f t="shared" ref="P200:Q200" si="237">N200</f>
        <v>2500</v>
      </c>
      <c r="Q200" s="25">
        <f t="shared" si="237"/>
        <v>4000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 t="s">
        <v>471</v>
      </c>
      <c r="B201" s="1">
        <f t="shared" si="3"/>
        <v>141</v>
      </c>
      <c r="C201" s="1">
        <f t="shared" si="4"/>
        <v>3</v>
      </c>
      <c r="D201" s="1" t="s">
        <v>715</v>
      </c>
      <c r="E201" s="1" t="s">
        <v>473</v>
      </c>
      <c r="F201" s="1" t="s">
        <v>676</v>
      </c>
      <c r="G201" s="1" t="s">
        <v>716</v>
      </c>
      <c r="H201" s="1"/>
      <c r="I201" s="25">
        <f>42000/12</f>
        <v>3500</v>
      </c>
      <c r="J201" s="25">
        <v>5000.0</v>
      </c>
      <c r="K201" s="5">
        <f t="shared" si="238"/>
        <v>30</v>
      </c>
      <c r="L201" s="25">
        <f t="shared" si="239"/>
        <v>1500</v>
      </c>
      <c r="M201" s="1" t="s">
        <v>451</v>
      </c>
      <c r="N201" s="25">
        <v>3500.0</v>
      </c>
      <c r="O201" s="25">
        <v>5000.0</v>
      </c>
      <c r="P201" s="25">
        <f t="shared" ref="P201:Q201" si="240">N201</f>
        <v>3500</v>
      </c>
      <c r="Q201" s="25">
        <f t="shared" si="240"/>
        <v>5000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 t="s">
        <v>471</v>
      </c>
      <c r="B202" s="1">
        <f t="shared" si="3"/>
        <v>142</v>
      </c>
      <c r="C202" s="1">
        <f t="shared" si="4"/>
        <v>3</v>
      </c>
      <c r="D202" s="1" t="s">
        <v>717</v>
      </c>
      <c r="E202" s="1" t="s">
        <v>473</v>
      </c>
      <c r="F202" s="1" t="s">
        <v>676</v>
      </c>
      <c r="G202" s="1" t="s">
        <v>718</v>
      </c>
      <c r="H202" s="1"/>
      <c r="I202" s="25"/>
      <c r="J202" s="25">
        <v>50000.0</v>
      </c>
      <c r="K202" s="5">
        <f t="shared" si="238"/>
        <v>100</v>
      </c>
      <c r="L202" s="25">
        <f t="shared" si="239"/>
        <v>50000</v>
      </c>
      <c r="M202" s="1"/>
      <c r="N202" s="25"/>
      <c r="O202" s="25">
        <v>50000.0</v>
      </c>
      <c r="P202" s="25" t="str">
        <f t="shared" ref="P202:Q202" si="241">N202</f>
        <v/>
      </c>
      <c r="Q202" s="25">
        <f t="shared" si="241"/>
        <v>50000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 t="s">
        <v>471</v>
      </c>
      <c r="B203" s="1">
        <f t="shared" si="3"/>
        <v>143</v>
      </c>
      <c r="C203" s="1">
        <f t="shared" si="4"/>
        <v>3</v>
      </c>
      <c r="D203" s="1" t="s">
        <v>719</v>
      </c>
      <c r="E203" s="1" t="s">
        <v>473</v>
      </c>
      <c r="F203" s="1" t="s">
        <v>676</v>
      </c>
      <c r="G203" s="1" t="s">
        <v>720</v>
      </c>
      <c r="H203" s="1"/>
      <c r="I203" s="25">
        <v>176000.0</v>
      </c>
      <c r="J203" s="25">
        <v>200000.0</v>
      </c>
      <c r="K203" s="5">
        <f t="shared" si="238"/>
        <v>12</v>
      </c>
      <c r="L203" s="25">
        <f t="shared" si="239"/>
        <v>24000</v>
      </c>
      <c r="M203" s="1" t="s">
        <v>451</v>
      </c>
      <c r="N203" s="25">
        <f t="shared" ref="N203:O203" si="242">I203</f>
        <v>176000</v>
      </c>
      <c r="O203" s="25">
        <f t="shared" si="242"/>
        <v>200000</v>
      </c>
      <c r="P203" s="25">
        <f t="shared" ref="P203:Q203" si="243">N203</f>
        <v>176000</v>
      </c>
      <c r="Q203" s="25">
        <f t="shared" si="243"/>
        <v>200000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 t="s">
        <v>471</v>
      </c>
      <c r="B204" s="1">
        <f t="shared" si="3"/>
        <v>144</v>
      </c>
      <c r="C204" s="1">
        <f t="shared" si="4"/>
        <v>3</v>
      </c>
      <c r="D204" s="1" t="s">
        <v>721</v>
      </c>
      <c r="E204" s="1" t="s">
        <v>473</v>
      </c>
      <c r="F204" s="1" t="s">
        <v>676</v>
      </c>
      <c r="G204" s="1" t="s">
        <v>722</v>
      </c>
      <c r="H204" s="1"/>
      <c r="I204" s="25">
        <v>3000.0</v>
      </c>
      <c r="J204" s="25">
        <v>4000.0</v>
      </c>
      <c r="K204" s="5">
        <f t="shared" si="238"/>
        <v>25</v>
      </c>
      <c r="L204" s="25">
        <f t="shared" si="239"/>
        <v>1000</v>
      </c>
      <c r="M204" s="1"/>
      <c r="N204" s="25">
        <v>3000.0</v>
      </c>
      <c r="O204" s="25">
        <v>4000.0</v>
      </c>
      <c r="P204" s="25">
        <f t="shared" ref="P204:Q204" si="244">N204</f>
        <v>3000</v>
      </c>
      <c r="Q204" s="25">
        <f t="shared" si="244"/>
        <v>4000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 t="s">
        <v>471</v>
      </c>
      <c r="B205" s="1">
        <f t="shared" si="3"/>
        <v>145</v>
      </c>
      <c r="C205" s="1">
        <f t="shared" si="4"/>
        <v>3</v>
      </c>
      <c r="D205" s="1" t="s">
        <v>723</v>
      </c>
      <c r="E205" s="1" t="s">
        <v>473</v>
      </c>
      <c r="F205" s="1" t="s">
        <v>676</v>
      </c>
      <c r="G205" s="1" t="s">
        <v>724</v>
      </c>
      <c r="H205" s="1"/>
      <c r="I205" s="25">
        <v>8500.0</v>
      </c>
      <c r="J205" s="25"/>
      <c r="K205" s="5"/>
      <c r="L205" s="25"/>
      <c r="M205" s="1"/>
      <c r="N205" s="25"/>
      <c r="O205" s="2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 t="s">
        <v>471</v>
      </c>
      <c r="B206" s="1">
        <f t="shared" si="3"/>
        <v>146</v>
      </c>
      <c r="C206" s="1">
        <f t="shared" si="4"/>
        <v>3</v>
      </c>
      <c r="D206" s="1" t="s">
        <v>725</v>
      </c>
      <c r="E206" s="1" t="s">
        <v>473</v>
      </c>
      <c r="F206" s="1" t="s">
        <v>676</v>
      </c>
      <c r="G206" s="1" t="s">
        <v>726</v>
      </c>
      <c r="H206" s="1"/>
      <c r="I206" s="25">
        <v>10750.0</v>
      </c>
      <c r="J206" s="25">
        <v>14500.0</v>
      </c>
      <c r="K206" s="5">
        <f t="shared" ref="K206:K215" si="246">(J206-I206)/J206*100</f>
        <v>25.86206897</v>
      </c>
      <c r="L206" s="25">
        <f t="shared" ref="L206:L215" si="247">J206-I206</f>
        <v>3750</v>
      </c>
      <c r="M206" s="1" t="s">
        <v>451</v>
      </c>
      <c r="N206" s="25">
        <v>10750.0</v>
      </c>
      <c r="O206" s="25">
        <v>14500.0</v>
      </c>
      <c r="P206" s="25">
        <f t="shared" ref="P206:Q206" si="245">N206</f>
        <v>10750</v>
      </c>
      <c r="Q206" s="25">
        <f t="shared" si="245"/>
        <v>14500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 t="s">
        <v>471</v>
      </c>
      <c r="B207" s="1">
        <f t="shared" si="3"/>
        <v>147</v>
      </c>
      <c r="C207" s="1">
        <f t="shared" si="4"/>
        <v>3</v>
      </c>
      <c r="D207" s="1" t="s">
        <v>727</v>
      </c>
      <c r="E207" s="1" t="s">
        <v>473</v>
      </c>
      <c r="F207" s="1" t="s">
        <v>676</v>
      </c>
      <c r="G207" s="1" t="s">
        <v>728</v>
      </c>
      <c r="H207" s="1"/>
      <c r="I207" s="25">
        <v>11250.0</v>
      </c>
      <c r="J207" s="25">
        <v>15000.0</v>
      </c>
      <c r="K207" s="5">
        <f t="shared" si="246"/>
        <v>25</v>
      </c>
      <c r="L207" s="25">
        <f t="shared" si="247"/>
        <v>3750</v>
      </c>
      <c r="M207" s="1" t="s">
        <v>451</v>
      </c>
      <c r="N207" s="25">
        <f t="shared" ref="N207:O207" si="248">I207</f>
        <v>11250</v>
      </c>
      <c r="O207" s="25">
        <f t="shared" si="248"/>
        <v>15000</v>
      </c>
      <c r="P207" s="25">
        <f t="shared" ref="P207:Q207" si="249">N207</f>
        <v>11250</v>
      </c>
      <c r="Q207" s="25">
        <f t="shared" si="249"/>
        <v>15000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 t="s">
        <v>471</v>
      </c>
      <c r="B208" s="1">
        <f t="shared" si="3"/>
        <v>148</v>
      </c>
      <c r="C208" s="1">
        <f t="shared" si="4"/>
        <v>3</v>
      </c>
      <c r="D208" s="1" t="s">
        <v>729</v>
      </c>
      <c r="E208" s="1" t="s">
        <v>473</v>
      </c>
      <c r="F208" s="1" t="s">
        <v>676</v>
      </c>
      <c r="G208" s="1" t="s">
        <v>730</v>
      </c>
      <c r="H208" s="1"/>
      <c r="I208" s="25">
        <v>17000.0</v>
      </c>
      <c r="J208" s="25">
        <v>19000.0</v>
      </c>
      <c r="K208" s="5">
        <f t="shared" si="246"/>
        <v>10.52631579</v>
      </c>
      <c r="L208" s="25">
        <f t="shared" si="247"/>
        <v>2000</v>
      </c>
      <c r="M208" s="1" t="s">
        <v>451</v>
      </c>
      <c r="N208" s="25">
        <f t="shared" ref="N208:O208" si="250">I208</f>
        <v>17000</v>
      </c>
      <c r="O208" s="25">
        <f t="shared" si="250"/>
        <v>19000</v>
      </c>
      <c r="P208" s="25">
        <f t="shared" ref="P208:Q208" si="251">N208</f>
        <v>17000</v>
      </c>
      <c r="Q208" s="25">
        <f t="shared" si="251"/>
        <v>19000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 t="s">
        <v>471</v>
      </c>
      <c r="B209" s="1">
        <f t="shared" si="3"/>
        <v>149</v>
      </c>
      <c r="C209" s="1">
        <f t="shared" si="4"/>
        <v>3</v>
      </c>
      <c r="D209" s="1" t="s">
        <v>731</v>
      </c>
      <c r="E209" s="1" t="s">
        <v>473</v>
      </c>
      <c r="F209" s="1" t="s">
        <v>676</v>
      </c>
      <c r="G209" s="1" t="s">
        <v>732</v>
      </c>
      <c r="H209" s="1"/>
      <c r="I209" s="25">
        <v>6000.0</v>
      </c>
      <c r="J209" s="25">
        <v>8000.0</v>
      </c>
      <c r="K209" s="5">
        <f t="shared" si="246"/>
        <v>25</v>
      </c>
      <c r="L209" s="25">
        <f t="shared" si="247"/>
        <v>2000</v>
      </c>
      <c r="M209" s="1"/>
      <c r="N209" s="25">
        <v>6000.0</v>
      </c>
      <c r="O209" s="25">
        <v>8000.0</v>
      </c>
      <c r="P209" s="25">
        <f t="shared" ref="P209:Q209" si="252">N209</f>
        <v>6000</v>
      </c>
      <c r="Q209" s="25">
        <f t="shared" si="252"/>
        <v>8000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 t="s">
        <v>471</v>
      </c>
      <c r="B210" s="1">
        <f t="shared" si="3"/>
        <v>150</v>
      </c>
      <c r="C210" s="1">
        <f t="shared" si="4"/>
        <v>3</v>
      </c>
      <c r="D210" s="1" t="s">
        <v>236</v>
      </c>
      <c r="E210" s="1" t="s">
        <v>473</v>
      </c>
      <c r="F210" s="1" t="s">
        <v>676</v>
      </c>
      <c r="G210" s="1" t="s">
        <v>733</v>
      </c>
      <c r="H210" s="1"/>
      <c r="I210" s="25">
        <v>8000.0</v>
      </c>
      <c r="J210" s="25">
        <v>10000.0</v>
      </c>
      <c r="K210" s="5">
        <f t="shared" si="246"/>
        <v>20</v>
      </c>
      <c r="L210" s="25">
        <f t="shared" si="247"/>
        <v>2000</v>
      </c>
      <c r="M210" s="1"/>
      <c r="N210" s="25">
        <v>8000.0</v>
      </c>
      <c r="O210" s="25">
        <v>10000.0</v>
      </c>
      <c r="P210" s="25">
        <f t="shared" ref="P210:Q210" si="253">N210</f>
        <v>8000</v>
      </c>
      <c r="Q210" s="25">
        <f t="shared" si="253"/>
        <v>10000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 t="s">
        <v>471</v>
      </c>
      <c r="B211" s="1">
        <f t="shared" si="3"/>
        <v>151</v>
      </c>
      <c r="C211" s="1">
        <f t="shared" si="4"/>
        <v>3</v>
      </c>
      <c r="D211" s="1" t="s">
        <v>317</v>
      </c>
      <c r="E211" s="1" t="s">
        <v>473</v>
      </c>
      <c r="F211" s="1" t="s">
        <v>676</v>
      </c>
      <c r="G211" s="1" t="s">
        <v>734</v>
      </c>
      <c r="H211" s="1"/>
      <c r="I211" s="25">
        <f>366000/12</f>
        <v>30500</v>
      </c>
      <c r="J211" s="36">
        <v>42000.0</v>
      </c>
      <c r="K211" s="5">
        <f t="shared" si="246"/>
        <v>27.38095238</v>
      </c>
      <c r="L211" s="25">
        <f t="shared" si="247"/>
        <v>11500</v>
      </c>
      <c r="M211" s="1"/>
      <c r="N211" s="25">
        <f t="shared" ref="N211:O211" si="254">I211</f>
        <v>30500</v>
      </c>
      <c r="O211" s="25">
        <f t="shared" si="254"/>
        <v>42000</v>
      </c>
      <c r="P211" s="25">
        <f t="shared" ref="P211:Q211" si="255">N211</f>
        <v>30500</v>
      </c>
      <c r="Q211" s="25">
        <f t="shared" si="255"/>
        <v>42000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 t="s">
        <v>471</v>
      </c>
      <c r="B212" s="1">
        <f t="shared" si="3"/>
        <v>152</v>
      </c>
      <c r="C212" s="1">
        <f t="shared" si="4"/>
        <v>3</v>
      </c>
      <c r="D212" s="1" t="s">
        <v>735</v>
      </c>
      <c r="E212" s="1" t="s">
        <v>473</v>
      </c>
      <c r="F212" s="1" t="s">
        <v>676</v>
      </c>
      <c r="G212" s="1" t="s">
        <v>736</v>
      </c>
      <c r="H212" s="1"/>
      <c r="I212" s="25">
        <v>58000.0</v>
      </c>
      <c r="J212" s="36">
        <v>75000.0</v>
      </c>
      <c r="K212" s="5">
        <f t="shared" si="246"/>
        <v>22.66666667</v>
      </c>
      <c r="L212" s="25">
        <f t="shared" si="247"/>
        <v>17000</v>
      </c>
      <c r="M212" s="1" t="s">
        <v>451</v>
      </c>
      <c r="N212" s="25">
        <v>58000.0</v>
      </c>
      <c r="O212" s="25">
        <v>65000.0</v>
      </c>
      <c r="P212" s="25">
        <f t="shared" ref="P212:P215" si="256">N212</f>
        <v>58000</v>
      </c>
      <c r="Q212" s="1">
        <v>75000.0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 t="s">
        <v>471</v>
      </c>
      <c r="B213" s="1">
        <f t="shared" si="3"/>
        <v>153</v>
      </c>
      <c r="C213" s="1">
        <f t="shared" si="4"/>
        <v>3</v>
      </c>
      <c r="D213" s="1" t="s">
        <v>737</v>
      </c>
      <c r="E213" s="1" t="s">
        <v>473</v>
      </c>
      <c r="F213" s="1" t="s">
        <v>676</v>
      </c>
      <c r="G213" s="1" t="s">
        <v>738</v>
      </c>
      <c r="H213" s="1"/>
      <c r="I213" s="25">
        <v>88000.0</v>
      </c>
      <c r="J213" s="25">
        <v>100000.0</v>
      </c>
      <c r="K213" s="5">
        <f t="shared" si="246"/>
        <v>12</v>
      </c>
      <c r="L213" s="25">
        <f t="shared" si="247"/>
        <v>12000</v>
      </c>
      <c r="M213" s="1" t="s">
        <v>451</v>
      </c>
      <c r="N213" s="25">
        <v>88000.0</v>
      </c>
      <c r="O213" s="25">
        <v>100000.0</v>
      </c>
      <c r="P213" s="25">
        <f t="shared" si="256"/>
        <v>88000</v>
      </c>
      <c r="Q213" s="25">
        <f t="shared" ref="Q213:Q215" si="258">O213</f>
        <v>100000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 t="s">
        <v>471</v>
      </c>
      <c r="B214" s="1">
        <f t="shared" si="3"/>
        <v>154</v>
      </c>
      <c r="C214" s="1">
        <f t="shared" si="4"/>
        <v>3</v>
      </c>
      <c r="D214" s="1" t="s">
        <v>739</v>
      </c>
      <c r="E214" s="1" t="s">
        <v>473</v>
      </c>
      <c r="F214" s="1" t="s">
        <v>676</v>
      </c>
      <c r="G214" s="1" t="s">
        <v>740</v>
      </c>
      <c r="H214" s="1"/>
      <c r="I214" s="25">
        <f>9000/12</f>
        <v>750</v>
      </c>
      <c r="J214" s="25">
        <v>2000.0</v>
      </c>
      <c r="K214" s="31">
        <f t="shared" si="246"/>
        <v>62.5</v>
      </c>
      <c r="L214" s="32">
        <f t="shared" si="247"/>
        <v>1250</v>
      </c>
      <c r="M214" s="1" t="s">
        <v>451</v>
      </c>
      <c r="N214" s="25">
        <f t="shared" ref="N214:O214" si="257">I214</f>
        <v>750</v>
      </c>
      <c r="O214" s="25">
        <f t="shared" si="257"/>
        <v>2000</v>
      </c>
      <c r="P214" s="25">
        <f t="shared" si="256"/>
        <v>750</v>
      </c>
      <c r="Q214" s="25">
        <f t="shared" si="258"/>
        <v>2000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 t="s">
        <v>471</v>
      </c>
      <c r="B215" s="1">
        <f t="shared" si="3"/>
        <v>155</v>
      </c>
      <c r="C215" s="1">
        <f t="shared" si="4"/>
        <v>3</v>
      </c>
      <c r="D215" s="1" t="s">
        <v>741</v>
      </c>
      <c r="E215" s="1" t="s">
        <v>473</v>
      </c>
      <c r="F215" s="1" t="s">
        <v>676</v>
      </c>
      <c r="G215" s="1" t="s">
        <v>742</v>
      </c>
      <c r="H215" s="1"/>
      <c r="I215" s="25">
        <f>12000/12</f>
        <v>1000</v>
      </c>
      <c r="J215" s="25">
        <v>3000.0</v>
      </c>
      <c r="K215" s="31">
        <f t="shared" si="246"/>
        <v>66.66666667</v>
      </c>
      <c r="L215" s="32">
        <f t="shared" si="247"/>
        <v>2000</v>
      </c>
      <c r="M215" s="1" t="s">
        <v>451</v>
      </c>
      <c r="N215" s="25">
        <f t="shared" ref="N215:O215" si="259">I215</f>
        <v>1000</v>
      </c>
      <c r="O215" s="25">
        <f t="shared" si="259"/>
        <v>3000</v>
      </c>
      <c r="P215" s="25">
        <f t="shared" si="256"/>
        <v>1000</v>
      </c>
      <c r="Q215" s="25">
        <f t="shared" si="258"/>
        <v>3000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 t="s">
        <v>471</v>
      </c>
      <c r="B216" s="1">
        <f t="shared" si="3"/>
        <v>156</v>
      </c>
      <c r="C216" s="1">
        <f t="shared" si="4"/>
        <v>3</v>
      </c>
      <c r="D216" s="1" t="s">
        <v>743</v>
      </c>
      <c r="E216" s="1" t="s">
        <v>473</v>
      </c>
      <c r="F216" s="1" t="s">
        <v>676</v>
      </c>
      <c r="G216" s="1" t="s">
        <v>742</v>
      </c>
      <c r="H216" s="1"/>
      <c r="I216" s="25"/>
      <c r="J216" s="25"/>
      <c r="K216" s="5"/>
      <c r="L216" s="25"/>
      <c r="M216" s="1"/>
      <c r="N216" s="25"/>
      <c r="O216" s="2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 t="s">
        <v>471</v>
      </c>
      <c r="B217" s="1">
        <f t="shared" si="3"/>
        <v>157</v>
      </c>
      <c r="C217" s="1">
        <f t="shared" si="4"/>
        <v>3</v>
      </c>
      <c r="D217" s="1" t="s">
        <v>157</v>
      </c>
      <c r="E217" s="1" t="s">
        <v>473</v>
      </c>
      <c r="F217" s="1" t="s">
        <v>676</v>
      </c>
      <c r="G217" s="1" t="s">
        <v>744</v>
      </c>
      <c r="H217" s="1"/>
      <c r="I217" s="25">
        <v>1375.0</v>
      </c>
      <c r="J217" s="25">
        <v>2000.0</v>
      </c>
      <c r="K217" s="5">
        <f t="shared" ref="K217:K220" si="261">(J217-I217)/J217*100</f>
        <v>31.25</v>
      </c>
      <c r="L217" s="25">
        <f t="shared" ref="L217:L220" si="262">J217-I217</f>
        <v>625</v>
      </c>
      <c r="M217" s="1" t="s">
        <v>451</v>
      </c>
      <c r="N217" s="25">
        <v>1375.0</v>
      </c>
      <c r="O217" s="25">
        <v>2000.0</v>
      </c>
      <c r="P217" s="25">
        <f t="shared" ref="P217:Q217" si="260">N217</f>
        <v>1375</v>
      </c>
      <c r="Q217" s="25">
        <f t="shared" si="260"/>
        <v>2000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 t="s">
        <v>471</v>
      </c>
      <c r="B218" s="1">
        <f t="shared" si="3"/>
        <v>158</v>
      </c>
      <c r="C218" s="1">
        <f t="shared" si="4"/>
        <v>3</v>
      </c>
      <c r="D218" s="1" t="s">
        <v>186</v>
      </c>
      <c r="E218" s="1" t="s">
        <v>473</v>
      </c>
      <c r="F218" s="1" t="s">
        <v>676</v>
      </c>
      <c r="G218" s="1" t="s">
        <v>745</v>
      </c>
      <c r="H218" s="1"/>
      <c r="I218" s="25">
        <v>1875.0</v>
      </c>
      <c r="J218" s="25">
        <v>2500.0</v>
      </c>
      <c r="K218" s="5">
        <f t="shared" si="261"/>
        <v>25</v>
      </c>
      <c r="L218" s="25">
        <f t="shared" si="262"/>
        <v>625</v>
      </c>
      <c r="M218" s="1" t="s">
        <v>451</v>
      </c>
      <c r="N218" s="25">
        <v>1875.0</v>
      </c>
      <c r="O218" s="25">
        <v>2500.0</v>
      </c>
      <c r="P218" s="25">
        <f t="shared" ref="P218:Q218" si="263">N218</f>
        <v>1875</v>
      </c>
      <c r="Q218" s="25">
        <f t="shared" si="263"/>
        <v>2500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 t="s">
        <v>471</v>
      </c>
      <c r="B219" s="1">
        <f t="shared" si="3"/>
        <v>159</v>
      </c>
      <c r="C219" s="1">
        <f t="shared" si="4"/>
        <v>3</v>
      </c>
      <c r="D219" s="1" t="s">
        <v>296</v>
      </c>
      <c r="E219" s="1" t="s">
        <v>473</v>
      </c>
      <c r="F219" s="1" t="s">
        <v>676</v>
      </c>
      <c r="G219" s="1" t="s">
        <v>746</v>
      </c>
      <c r="H219" s="1"/>
      <c r="I219" s="25">
        <v>2250.0</v>
      </c>
      <c r="J219" s="25">
        <v>3500.0</v>
      </c>
      <c r="K219" s="5">
        <f t="shared" si="261"/>
        <v>35.71428571</v>
      </c>
      <c r="L219" s="25">
        <f t="shared" si="262"/>
        <v>1250</v>
      </c>
      <c r="M219" s="1" t="s">
        <v>451</v>
      </c>
      <c r="N219" s="25">
        <v>2250.0</v>
      </c>
      <c r="O219" s="25">
        <v>3500.0</v>
      </c>
      <c r="P219" s="25">
        <f t="shared" ref="P219:Q219" si="264">N219</f>
        <v>2250</v>
      </c>
      <c r="Q219" s="25">
        <f t="shared" si="264"/>
        <v>3500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 t="s">
        <v>471</v>
      </c>
      <c r="B220" s="1">
        <f t="shared" si="3"/>
        <v>160</v>
      </c>
      <c r="C220" s="1">
        <f t="shared" si="4"/>
        <v>3</v>
      </c>
      <c r="D220" s="1" t="s">
        <v>232</v>
      </c>
      <c r="E220" s="1" t="s">
        <v>473</v>
      </c>
      <c r="F220" s="1" t="s">
        <v>676</v>
      </c>
      <c r="G220" s="1" t="s">
        <v>747</v>
      </c>
      <c r="H220" s="1"/>
      <c r="I220" s="25">
        <f>45000/12</f>
        <v>3750</v>
      </c>
      <c r="J220" s="25">
        <v>5500.0</v>
      </c>
      <c r="K220" s="5">
        <f t="shared" si="261"/>
        <v>31.81818182</v>
      </c>
      <c r="L220" s="25">
        <f t="shared" si="262"/>
        <v>1750</v>
      </c>
      <c r="M220" s="1" t="s">
        <v>451</v>
      </c>
      <c r="N220" s="25">
        <v>3750.0</v>
      </c>
      <c r="O220" s="25">
        <v>5500.0</v>
      </c>
      <c r="P220" s="25">
        <f t="shared" ref="P220:Q220" si="265">N220</f>
        <v>3750</v>
      </c>
      <c r="Q220" s="25">
        <f t="shared" si="265"/>
        <v>5500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 t="s">
        <v>471</v>
      </c>
      <c r="B221" s="1">
        <f t="shared" si="3"/>
        <v>161</v>
      </c>
      <c r="C221" s="1">
        <f t="shared" si="4"/>
        <v>3</v>
      </c>
      <c r="D221" s="1" t="s">
        <v>748</v>
      </c>
      <c r="E221" s="1" t="s">
        <v>473</v>
      </c>
      <c r="F221" s="1" t="s">
        <v>676</v>
      </c>
      <c r="G221" s="1" t="s">
        <v>749</v>
      </c>
      <c r="H221" s="1"/>
      <c r="I221" s="25">
        <v>6250.0</v>
      </c>
      <c r="J221" s="25">
        <v>8500.0</v>
      </c>
      <c r="K221" s="5"/>
      <c r="L221" s="25"/>
      <c r="M221" s="1"/>
      <c r="N221" s="25"/>
      <c r="O221" s="2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 t="s">
        <v>471</v>
      </c>
      <c r="B222" s="1">
        <f t="shared" si="3"/>
        <v>162</v>
      </c>
      <c r="C222" s="1">
        <f t="shared" si="4"/>
        <v>3</v>
      </c>
      <c r="D222" s="1" t="s">
        <v>750</v>
      </c>
      <c r="E222" s="1" t="s">
        <v>473</v>
      </c>
      <c r="F222" s="1" t="s">
        <v>676</v>
      </c>
      <c r="G222" s="1" t="s">
        <v>751</v>
      </c>
      <c r="H222" s="1"/>
      <c r="I222" s="25">
        <v>7750.0</v>
      </c>
      <c r="J222" s="25">
        <v>10000.0</v>
      </c>
      <c r="K222" s="5">
        <f t="shared" ref="K222:K227" si="267">(J222-I222)/J222*100</f>
        <v>22.5</v>
      </c>
      <c r="L222" s="25">
        <f t="shared" ref="L222:L227" si="268">J222-I222</f>
        <v>2250</v>
      </c>
      <c r="M222" s="1"/>
      <c r="N222" s="25">
        <v>7750.0</v>
      </c>
      <c r="O222" s="25">
        <v>10000.0</v>
      </c>
      <c r="P222" s="25">
        <f t="shared" ref="P222:Q222" si="266">N222</f>
        <v>7750</v>
      </c>
      <c r="Q222" s="25">
        <f t="shared" si="266"/>
        <v>10000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 t="s">
        <v>471</v>
      </c>
      <c r="B223" s="1">
        <f t="shared" si="3"/>
        <v>163</v>
      </c>
      <c r="C223" s="1">
        <f t="shared" si="4"/>
        <v>3</v>
      </c>
      <c r="D223" s="17" t="s">
        <v>189</v>
      </c>
      <c r="E223" s="1" t="s">
        <v>473</v>
      </c>
      <c r="F223" s="1" t="s">
        <v>676</v>
      </c>
      <c r="G223" s="1" t="s">
        <v>752</v>
      </c>
      <c r="H223" s="1"/>
      <c r="I223" s="25">
        <v>6000.0</v>
      </c>
      <c r="J223" s="25">
        <v>8500.0</v>
      </c>
      <c r="K223" s="5">
        <f t="shared" si="267"/>
        <v>29.41176471</v>
      </c>
      <c r="L223" s="25">
        <f t="shared" si="268"/>
        <v>2500</v>
      </c>
      <c r="M223" s="1" t="s">
        <v>451</v>
      </c>
      <c r="N223" s="25">
        <v>6000.0</v>
      </c>
      <c r="O223" s="25">
        <v>8500.0</v>
      </c>
      <c r="P223" s="25">
        <f t="shared" ref="P223:Q223" si="269">N223</f>
        <v>6000</v>
      </c>
      <c r="Q223" s="25">
        <f t="shared" si="269"/>
        <v>8500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 t="s">
        <v>471</v>
      </c>
      <c r="B224" s="1">
        <f t="shared" si="3"/>
        <v>164</v>
      </c>
      <c r="C224" s="1">
        <f t="shared" si="4"/>
        <v>3</v>
      </c>
      <c r="D224" s="17" t="s">
        <v>97</v>
      </c>
      <c r="E224" s="1" t="s">
        <v>473</v>
      </c>
      <c r="F224" s="1" t="s">
        <v>676</v>
      </c>
      <c r="G224" s="1" t="s">
        <v>753</v>
      </c>
      <c r="H224" s="1"/>
      <c r="I224" s="25">
        <v>10250.0</v>
      </c>
      <c r="J224" s="25">
        <v>14000.0</v>
      </c>
      <c r="K224" s="5">
        <f t="shared" si="267"/>
        <v>26.78571429</v>
      </c>
      <c r="L224" s="25">
        <f t="shared" si="268"/>
        <v>3750</v>
      </c>
      <c r="M224" s="1" t="s">
        <v>451</v>
      </c>
      <c r="N224" s="25">
        <v>10250.0</v>
      </c>
      <c r="O224" s="25">
        <v>14000.0</v>
      </c>
      <c r="P224" s="25">
        <v>10250.0</v>
      </c>
      <c r="Q224" s="25">
        <v>14000.0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 t="s">
        <v>471</v>
      </c>
      <c r="B225" s="1">
        <f t="shared" si="3"/>
        <v>165</v>
      </c>
      <c r="C225" s="1">
        <f t="shared" si="4"/>
        <v>3</v>
      </c>
      <c r="D225" s="1" t="s">
        <v>149</v>
      </c>
      <c r="E225" s="1" t="s">
        <v>473</v>
      </c>
      <c r="F225" s="1" t="s">
        <v>676</v>
      </c>
      <c r="G225" s="1" t="s">
        <v>754</v>
      </c>
      <c r="H225" s="1"/>
      <c r="I225" s="25">
        <v>14000.0</v>
      </c>
      <c r="J225" s="25">
        <v>17500.0</v>
      </c>
      <c r="K225" s="5">
        <f t="shared" si="267"/>
        <v>20</v>
      </c>
      <c r="L225" s="25">
        <f t="shared" si="268"/>
        <v>3500</v>
      </c>
      <c r="M225" s="1" t="s">
        <v>451</v>
      </c>
      <c r="N225" s="25">
        <v>14000.0</v>
      </c>
      <c r="O225" s="25">
        <v>17500.0</v>
      </c>
      <c r="P225" s="25">
        <v>14000.0</v>
      </c>
      <c r="Q225" s="25">
        <v>17500.0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 t="s">
        <v>471</v>
      </c>
      <c r="B226" s="1">
        <f t="shared" si="3"/>
        <v>166</v>
      </c>
      <c r="C226" s="1">
        <f t="shared" si="4"/>
        <v>3</v>
      </c>
      <c r="D226" s="1" t="s">
        <v>755</v>
      </c>
      <c r="E226" s="1" t="s">
        <v>473</v>
      </c>
      <c r="F226" s="1" t="s">
        <v>676</v>
      </c>
      <c r="G226" s="1" t="s">
        <v>756</v>
      </c>
      <c r="H226" s="1"/>
      <c r="I226" s="25">
        <v>20000.0</v>
      </c>
      <c r="J226" s="36">
        <v>26000.0</v>
      </c>
      <c r="K226" s="5">
        <f t="shared" si="267"/>
        <v>23.07692308</v>
      </c>
      <c r="L226" s="25">
        <f t="shared" si="268"/>
        <v>6000</v>
      </c>
      <c r="M226" s="1" t="s">
        <v>451</v>
      </c>
      <c r="N226" s="25">
        <f t="shared" ref="N226:O226" si="270">I226</f>
        <v>20000</v>
      </c>
      <c r="O226" s="25">
        <f t="shared" si="270"/>
        <v>26000</v>
      </c>
      <c r="P226" s="25">
        <f t="shared" ref="P226:Q226" si="271">I226</f>
        <v>20000</v>
      </c>
      <c r="Q226" s="25">
        <f t="shared" si="271"/>
        <v>26000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 t="s">
        <v>471</v>
      </c>
      <c r="B227" s="1">
        <f t="shared" si="3"/>
        <v>167</v>
      </c>
      <c r="C227" s="1">
        <f t="shared" si="4"/>
        <v>3</v>
      </c>
      <c r="D227" s="1" t="s">
        <v>757</v>
      </c>
      <c r="E227" s="1" t="s">
        <v>473</v>
      </c>
      <c r="F227" s="1" t="s">
        <v>676</v>
      </c>
      <c r="G227" s="1" t="s">
        <v>758</v>
      </c>
      <c r="H227" s="1"/>
      <c r="I227" s="25">
        <f>6000/12</f>
        <v>500</v>
      </c>
      <c r="J227" s="25">
        <v>1000.0</v>
      </c>
      <c r="K227" s="31">
        <f t="shared" si="267"/>
        <v>50</v>
      </c>
      <c r="L227" s="32">
        <f t="shared" si="268"/>
        <v>500</v>
      </c>
      <c r="M227" s="1" t="s">
        <v>451</v>
      </c>
      <c r="N227" s="25">
        <f t="shared" ref="N227:O227" si="272">I227</f>
        <v>500</v>
      </c>
      <c r="O227" s="25">
        <f t="shared" si="272"/>
        <v>1000</v>
      </c>
      <c r="P227" s="25">
        <f t="shared" ref="P227:Q227" si="273">N227</f>
        <v>500</v>
      </c>
      <c r="Q227" s="25">
        <f t="shared" si="273"/>
        <v>1000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 t="s">
        <v>471</v>
      </c>
      <c r="B228" s="1">
        <f t="shared" si="3"/>
        <v>168</v>
      </c>
      <c r="C228" s="1">
        <f t="shared" si="4"/>
        <v>3</v>
      </c>
      <c r="D228" s="1" t="s">
        <v>759</v>
      </c>
      <c r="E228" s="1" t="s">
        <v>473</v>
      </c>
      <c r="F228" s="1" t="s">
        <v>676</v>
      </c>
      <c r="G228" s="1" t="s">
        <v>758</v>
      </c>
      <c r="H228" s="1"/>
      <c r="I228" s="25"/>
      <c r="J228" s="25"/>
      <c r="K228" s="5"/>
      <c r="L228" s="25"/>
      <c r="M228" s="1"/>
      <c r="N228" s="25"/>
      <c r="O228" s="2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 t="s">
        <v>471</v>
      </c>
      <c r="B229" s="1">
        <f t="shared" si="3"/>
        <v>169</v>
      </c>
      <c r="C229" s="1">
        <f t="shared" si="4"/>
        <v>3</v>
      </c>
      <c r="D229" s="1" t="s">
        <v>760</v>
      </c>
      <c r="E229" s="1" t="s">
        <v>473</v>
      </c>
      <c r="F229" s="1" t="s">
        <v>676</v>
      </c>
      <c r="G229" s="1" t="s">
        <v>761</v>
      </c>
      <c r="H229" s="1"/>
      <c r="I229" s="25">
        <v>10750.0</v>
      </c>
      <c r="J229" s="25">
        <v>14000.0</v>
      </c>
      <c r="K229" s="5">
        <f t="shared" ref="K229:K235" si="275">(J229-I229)/J229*100</f>
        <v>23.21428571</v>
      </c>
      <c r="L229" s="25">
        <f t="shared" ref="L229:L235" si="276">J229-I229</f>
        <v>3250</v>
      </c>
      <c r="M229" s="1"/>
      <c r="N229" s="25">
        <v>10750.0</v>
      </c>
      <c r="O229" s="25">
        <v>14000.0</v>
      </c>
      <c r="P229" s="25">
        <f t="shared" ref="P229:Q229" si="274">N229</f>
        <v>10750</v>
      </c>
      <c r="Q229" s="25">
        <f t="shared" si="274"/>
        <v>14000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 t="s">
        <v>471</v>
      </c>
      <c r="B230" s="1">
        <f t="shared" si="3"/>
        <v>170</v>
      </c>
      <c r="C230" s="1">
        <f t="shared" si="4"/>
        <v>3</v>
      </c>
      <c r="D230" s="1" t="s">
        <v>355</v>
      </c>
      <c r="E230" s="1" t="s">
        <v>473</v>
      </c>
      <c r="F230" s="1" t="s">
        <v>676</v>
      </c>
      <c r="G230" s="1" t="s">
        <v>762</v>
      </c>
      <c r="H230" s="1"/>
      <c r="I230" s="25">
        <v>20750.0</v>
      </c>
      <c r="J230" s="25">
        <v>26000.0</v>
      </c>
      <c r="K230" s="5">
        <f t="shared" si="275"/>
        <v>20.19230769</v>
      </c>
      <c r="L230" s="25">
        <f t="shared" si="276"/>
        <v>5250</v>
      </c>
      <c r="M230" s="1"/>
      <c r="N230" s="25">
        <v>20750.0</v>
      </c>
      <c r="O230" s="25">
        <v>26000.0</v>
      </c>
      <c r="P230" s="25">
        <f t="shared" ref="P230:Q230" si="277">N230</f>
        <v>20750</v>
      </c>
      <c r="Q230" s="25">
        <f t="shared" si="277"/>
        <v>26000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 t="s">
        <v>471</v>
      </c>
      <c r="B231" s="1">
        <f t="shared" si="3"/>
        <v>171</v>
      </c>
      <c r="C231" s="1">
        <f t="shared" si="4"/>
        <v>3</v>
      </c>
      <c r="D231" s="1" t="s">
        <v>763</v>
      </c>
      <c r="E231" s="1" t="s">
        <v>473</v>
      </c>
      <c r="F231" s="1" t="s">
        <v>676</v>
      </c>
      <c r="G231" s="1" t="s">
        <v>764</v>
      </c>
      <c r="H231" s="1"/>
      <c r="I231" s="25">
        <v>14333.0</v>
      </c>
      <c r="J231" s="25">
        <v>18000.0</v>
      </c>
      <c r="K231" s="5">
        <f t="shared" si="275"/>
        <v>20.37222222</v>
      </c>
      <c r="L231" s="25">
        <f t="shared" si="276"/>
        <v>3667</v>
      </c>
      <c r="M231" s="1"/>
      <c r="N231" s="25">
        <v>14333.0</v>
      </c>
      <c r="O231" s="25">
        <v>18000.0</v>
      </c>
      <c r="P231" s="25">
        <f t="shared" ref="P231:Q231" si="278">N231</f>
        <v>14333</v>
      </c>
      <c r="Q231" s="25">
        <f t="shared" si="278"/>
        <v>18000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 t="s">
        <v>471</v>
      </c>
      <c r="B232" s="1">
        <f t="shared" si="3"/>
        <v>172</v>
      </c>
      <c r="C232" s="1">
        <f t="shared" si="4"/>
        <v>3</v>
      </c>
      <c r="D232" s="1" t="s">
        <v>765</v>
      </c>
      <c r="E232" s="1" t="s">
        <v>473</v>
      </c>
      <c r="F232" s="1" t="s">
        <v>676</v>
      </c>
      <c r="G232" s="1" t="s">
        <v>766</v>
      </c>
      <c r="H232" s="1"/>
      <c r="I232" s="25">
        <v>2750.0</v>
      </c>
      <c r="J232" s="25">
        <v>4000.0</v>
      </c>
      <c r="K232" s="5">
        <f t="shared" si="275"/>
        <v>31.25</v>
      </c>
      <c r="L232" s="25">
        <f t="shared" si="276"/>
        <v>1250</v>
      </c>
      <c r="M232" s="1"/>
      <c r="N232" s="25">
        <v>2750.0</v>
      </c>
      <c r="O232" s="25">
        <v>4000.0</v>
      </c>
      <c r="P232" s="25">
        <f t="shared" ref="P232:Q232" si="279">N232</f>
        <v>2750</v>
      </c>
      <c r="Q232" s="25">
        <f t="shared" si="279"/>
        <v>4000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 t="s">
        <v>471</v>
      </c>
      <c r="B233" s="1">
        <f t="shared" si="3"/>
        <v>173</v>
      </c>
      <c r="C233" s="1">
        <f t="shared" si="4"/>
        <v>3</v>
      </c>
      <c r="D233" s="1" t="s">
        <v>767</v>
      </c>
      <c r="E233" s="1" t="s">
        <v>473</v>
      </c>
      <c r="F233" s="1" t="s">
        <v>676</v>
      </c>
      <c r="G233" s="1" t="s">
        <v>768</v>
      </c>
      <c r="H233" s="1"/>
      <c r="I233" s="25">
        <v>4000.0</v>
      </c>
      <c r="J233" s="25">
        <v>5500.0</v>
      </c>
      <c r="K233" s="5">
        <f t="shared" si="275"/>
        <v>27.27272727</v>
      </c>
      <c r="L233" s="25">
        <f t="shared" si="276"/>
        <v>1500</v>
      </c>
      <c r="M233" s="1" t="s">
        <v>451</v>
      </c>
      <c r="N233" s="25">
        <f t="shared" ref="N233:O233" si="280">I233</f>
        <v>4000</v>
      </c>
      <c r="O233" s="25">
        <f t="shared" si="280"/>
        <v>5500</v>
      </c>
      <c r="P233" s="25">
        <f t="shared" ref="P233:Q233" si="281">N233</f>
        <v>4000</v>
      </c>
      <c r="Q233" s="25">
        <f t="shared" si="281"/>
        <v>5500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 t="s">
        <v>471</v>
      </c>
      <c r="B234" s="1">
        <f t="shared" si="3"/>
        <v>174</v>
      </c>
      <c r="C234" s="1">
        <f t="shared" si="4"/>
        <v>3</v>
      </c>
      <c r="D234" s="1" t="s">
        <v>769</v>
      </c>
      <c r="E234" s="1" t="s">
        <v>473</v>
      </c>
      <c r="F234" s="1" t="s">
        <v>676</v>
      </c>
      <c r="G234" s="1" t="s">
        <v>770</v>
      </c>
      <c r="H234" s="1"/>
      <c r="I234" s="25">
        <v>8500.0</v>
      </c>
      <c r="J234" s="25">
        <v>10500.0</v>
      </c>
      <c r="K234" s="5">
        <f t="shared" si="275"/>
        <v>19.04761905</v>
      </c>
      <c r="L234" s="25">
        <f t="shared" si="276"/>
        <v>2000</v>
      </c>
      <c r="M234" s="1"/>
      <c r="N234" s="25">
        <v>8500.0</v>
      </c>
      <c r="O234" s="25">
        <v>10500.0</v>
      </c>
      <c r="P234" s="25">
        <f t="shared" ref="P234:Q234" si="282">N234</f>
        <v>8500</v>
      </c>
      <c r="Q234" s="25">
        <f t="shared" si="282"/>
        <v>10500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 t="s">
        <v>471</v>
      </c>
      <c r="B235" s="1">
        <f t="shared" si="3"/>
        <v>175</v>
      </c>
      <c r="C235" s="1">
        <f t="shared" si="4"/>
        <v>3</v>
      </c>
      <c r="D235" s="1" t="s">
        <v>771</v>
      </c>
      <c r="E235" s="1" t="s">
        <v>473</v>
      </c>
      <c r="F235" s="1" t="s">
        <v>676</v>
      </c>
      <c r="G235" s="1" t="s">
        <v>772</v>
      </c>
      <c r="H235" s="1"/>
      <c r="I235" s="25">
        <v>7250.0</v>
      </c>
      <c r="J235" s="25">
        <v>9000.0</v>
      </c>
      <c r="K235" s="5">
        <f t="shared" si="275"/>
        <v>19.44444444</v>
      </c>
      <c r="L235" s="25">
        <f t="shared" si="276"/>
        <v>1750</v>
      </c>
      <c r="M235" s="1"/>
      <c r="N235" s="25">
        <v>7250.0</v>
      </c>
      <c r="O235" s="25">
        <v>9000.0</v>
      </c>
      <c r="P235" s="25">
        <f t="shared" ref="P235:Q235" si="283">N235</f>
        <v>7250</v>
      </c>
      <c r="Q235" s="25">
        <f t="shared" si="283"/>
        <v>9000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 t="s">
        <v>471</v>
      </c>
      <c r="B236" s="1">
        <f t="shared" si="3"/>
        <v>176</v>
      </c>
      <c r="C236" s="1">
        <f t="shared" si="4"/>
        <v>3</v>
      </c>
      <c r="D236" s="1" t="s">
        <v>773</v>
      </c>
      <c r="E236" s="1" t="s">
        <v>473</v>
      </c>
      <c r="F236" s="1" t="s">
        <v>676</v>
      </c>
      <c r="G236" s="1" t="s">
        <v>774</v>
      </c>
      <c r="H236" s="1"/>
      <c r="I236" s="25">
        <f>48000/12</f>
        <v>4000</v>
      </c>
      <c r="J236" s="25"/>
      <c r="K236" s="5"/>
      <c r="L236" s="25"/>
      <c r="M236" s="1"/>
      <c r="N236" s="25"/>
      <c r="O236" s="2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 t="s">
        <v>471</v>
      </c>
      <c r="B237" s="1">
        <f t="shared" si="3"/>
        <v>177</v>
      </c>
      <c r="C237" s="1">
        <f t="shared" si="4"/>
        <v>3</v>
      </c>
      <c r="D237" s="1" t="s">
        <v>775</v>
      </c>
      <c r="E237" s="1" t="s">
        <v>473</v>
      </c>
      <c r="F237" s="1" t="s">
        <v>676</v>
      </c>
      <c r="G237" s="1" t="s">
        <v>776</v>
      </c>
      <c r="H237" s="1"/>
      <c r="I237" s="25"/>
      <c r="J237" s="25"/>
      <c r="K237" s="5"/>
      <c r="L237" s="25"/>
      <c r="M237" s="1"/>
      <c r="N237" s="25"/>
      <c r="O237" s="2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 t="s">
        <v>471</v>
      </c>
      <c r="B238" s="1">
        <f t="shared" si="3"/>
        <v>178</v>
      </c>
      <c r="C238" s="1">
        <f t="shared" si="4"/>
        <v>3</v>
      </c>
      <c r="D238" s="1" t="s">
        <v>777</v>
      </c>
      <c r="E238" s="1" t="s">
        <v>473</v>
      </c>
      <c r="F238" s="1" t="s">
        <v>676</v>
      </c>
      <c r="G238" s="1" t="s">
        <v>778</v>
      </c>
      <c r="H238" s="1"/>
      <c r="I238" s="25">
        <v>6750.0</v>
      </c>
      <c r="J238" s="25">
        <v>10000.0</v>
      </c>
      <c r="K238" s="31">
        <f t="shared" ref="K238:K241" si="286">(J238-I238)/J238*100</f>
        <v>32.5</v>
      </c>
      <c r="L238" s="32">
        <f t="shared" ref="L238:L241" si="287">J238-I238</f>
        <v>3250</v>
      </c>
      <c r="M238" s="1" t="s">
        <v>451</v>
      </c>
      <c r="N238" s="25">
        <f t="shared" ref="N238:O238" si="284">I238</f>
        <v>6750</v>
      </c>
      <c r="O238" s="25">
        <f t="shared" si="284"/>
        <v>10000</v>
      </c>
      <c r="P238" s="25">
        <f t="shared" ref="P238:Q238" si="285">N238</f>
        <v>6750</v>
      </c>
      <c r="Q238" s="25">
        <f t="shared" si="285"/>
        <v>10000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 t="s">
        <v>471</v>
      </c>
      <c r="B239" s="1">
        <f t="shared" si="3"/>
        <v>179</v>
      </c>
      <c r="C239" s="1">
        <f t="shared" si="4"/>
        <v>3</v>
      </c>
      <c r="D239" s="1" t="s">
        <v>198</v>
      </c>
      <c r="E239" s="1" t="s">
        <v>473</v>
      </c>
      <c r="F239" s="1" t="s">
        <v>676</v>
      </c>
      <c r="G239" s="1" t="s">
        <v>779</v>
      </c>
      <c r="H239" s="1"/>
      <c r="I239" s="25">
        <v>14750.0</v>
      </c>
      <c r="J239" s="25">
        <v>20000.0</v>
      </c>
      <c r="K239" s="31">
        <f t="shared" si="286"/>
        <v>26.25</v>
      </c>
      <c r="L239" s="32">
        <f t="shared" si="287"/>
        <v>5250</v>
      </c>
      <c r="M239" s="1" t="s">
        <v>451</v>
      </c>
      <c r="N239" s="25">
        <f t="shared" ref="N239:O239" si="288">I239</f>
        <v>14750</v>
      </c>
      <c r="O239" s="25">
        <f t="shared" si="288"/>
        <v>20000</v>
      </c>
      <c r="P239" s="25">
        <f t="shared" ref="P239:Q239" si="289">N239</f>
        <v>14750</v>
      </c>
      <c r="Q239" s="25">
        <f t="shared" si="289"/>
        <v>20000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 t="s">
        <v>471</v>
      </c>
      <c r="B240" s="1">
        <f t="shared" si="3"/>
        <v>180</v>
      </c>
      <c r="C240" s="1">
        <f t="shared" si="4"/>
        <v>3</v>
      </c>
      <c r="D240" s="1" t="s">
        <v>780</v>
      </c>
      <c r="E240" s="1" t="s">
        <v>473</v>
      </c>
      <c r="F240" s="1" t="s">
        <v>676</v>
      </c>
      <c r="G240" s="1" t="s">
        <v>781</v>
      </c>
      <c r="H240" s="1"/>
      <c r="I240" s="25">
        <v>26750.0</v>
      </c>
      <c r="J240" s="25">
        <v>35000.0</v>
      </c>
      <c r="K240" s="31">
        <f t="shared" si="286"/>
        <v>23.57142857</v>
      </c>
      <c r="L240" s="32">
        <f t="shared" si="287"/>
        <v>8250</v>
      </c>
      <c r="M240" s="1"/>
      <c r="N240" s="25">
        <v>26750.0</v>
      </c>
      <c r="O240" s="25">
        <v>35000.0</v>
      </c>
      <c r="P240" s="25">
        <v>26750.0</v>
      </c>
      <c r="Q240" s="25">
        <v>35000.0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 t="s">
        <v>471</v>
      </c>
      <c r="B241" s="1">
        <f t="shared" si="3"/>
        <v>181</v>
      </c>
      <c r="C241" s="1">
        <f t="shared" si="4"/>
        <v>3</v>
      </c>
      <c r="D241" s="1" t="s">
        <v>782</v>
      </c>
      <c r="E241" s="1" t="s">
        <v>473</v>
      </c>
      <c r="F241" s="1" t="s">
        <v>676</v>
      </c>
      <c r="G241" s="1" t="s">
        <v>783</v>
      </c>
      <c r="H241" s="1"/>
      <c r="I241" s="25">
        <v>5000.0</v>
      </c>
      <c r="J241" s="25">
        <v>6500.0</v>
      </c>
      <c r="K241" s="5">
        <f t="shared" si="286"/>
        <v>23.07692308</v>
      </c>
      <c r="L241" s="25">
        <f t="shared" si="287"/>
        <v>1500</v>
      </c>
      <c r="M241" s="1"/>
      <c r="N241" s="25">
        <v>5000.0</v>
      </c>
      <c r="O241" s="25">
        <v>6500.0</v>
      </c>
      <c r="P241" s="25">
        <f t="shared" ref="P241:Q241" si="290">N241</f>
        <v>5000</v>
      </c>
      <c r="Q241" s="25">
        <f t="shared" si="290"/>
        <v>6500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 t="s">
        <v>471</v>
      </c>
      <c r="B242" s="1">
        <f t="shared" si="3"/>
        <v>182</v>
      </c>
      <c r="C242" s="1">
        <f t="shared" si="4"/>
        <v>3</v>
      </c>
      <c r="D242" s="1" t="s">
        <v>20</v>
      </c>
      <c r="E242" s="1" t="s">
        <v>473</v>
      </c>
      <c r="F242" s="1" t="s">
        <v>676</v>
      </c>
      <c r="G242" s="1" t="s">
        <v>784</v>
      </c>
      <c r="H242" s="1"/>
      <c r="I242" s="25">
        <v>5250.0</v>
      </c>
      <c r="J242" s="25">
        <v>7000.0</v>
      </c>
      <c r="K242" s="5"/>
      <c r="L242" s="25"/>
      <c r="M242" s="1"/>
      <c r="N242" s="25">
        <v>5250.0</v>
      </c>
      <c r="O242" s="25">
        <v>7000.0</v>
      </c>
      <c r="P242" s="25">
        <v>5250.0</v>
      </c>
      <c r="Q242" s="25">
        <v>7000.0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 t="s">
        <v>471</v>
      </c>
      <c r="B243" s="1">
        <f t="shared" si="3"/>
        <v>183</v>
      </c>
      <c r="C243" s="1">
        <f t="shared" si="4"/>
        <v>3</v>
      </c>
      <c r="D243" s="1" t="s">
        <v>785</v>
      </c>
      <c r="E243" s="1" t="s">
        <v>473</v>
      </c>
      <c r="F243" s="1" t="s">
        <v>676</v>
      </c>
      <c r="G243" s="1" t="s">
        <v>786</v>
      </c>
      <c r="H243" s="1"/>
      <c r="I243" s="25">
        <v>6000.0</v>
      </c>
      <c r="J243" s="25">
        <v>8000.0</v>
      </c>
      <c r="K243" s="31">
        <f t="shared" ref="K243:K245" si="293">(J243-I243)/J243*100</f>
        <v>25</v>
      </c>
      <c r="L243" s="32">
        <f t="shared" ref="L243:L245" si="294">J243-I243</f>
        <v>2000</v>
      </c>
      <c r="M243" s="1" t="s">
        <v>451</v>
      </c>
      <c r="N243" s="25">
        <f t="shared" ref="N243:O243" si="291">I243</f>
        <v>6000</v>
      </c>
      <c r="O243" s="25">
        <f t="shared" si="291"/>
        <v>8000</v>
      </c>
      <c r="P243" s="25">
        <f t="shared" ref="P243:Q243" si="292">N243</f>
        <v>6000</v>
      </c>
      <c r="Q243" s="25">
        <f t="shared" si="292"/>
        <v>8000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 t="s">
        <v>471</v>
      </c>
      <c r="B244" s="1">
        <f t="shared" si="3"/>
        <v>184</v>
      </c>
      <c r="C244" s="1">
        <f t="shared" si="4"/>
        <v>3</v>
      </c>
      <c r="D244" s="1" t="s">
        <v>787</v>
      </c>
      <c r="E244" s="1" t="s">
        <v>473</v>
      </c>
      <c r="F244" s="1" t="s">
        <v>676</v>
      </c>
      <c r="G244" s="1" t="s">
        <v>788</v>
      </c>
      <c r="H244" s="1"/>
      <c r="I244" s="25">
        <v>3000.0</v>
      </c>
      <c r="J244" s="25">
        <v>5000.0</v>
      </c>
      <c r="K244" s="5">
        <f t="shared" si="293"/>
        <v>40</v>
      </c>
      <c r="L244" s="25">
        <f t="shared" si="294"/>
        <v>2000</v>
      </c>
      <c r="M244" s="1" t="s">
        <v>451</v>
      </c>
      <c r="N244" s="25">
        <f t="shared" ref="N244:O244" si="295">I244</f>
        <v>3000</v>
      </c>
      <c r="O244" s="25">
        <f t="shared" si="295"/>
        <v>5000</v>
      </c>
      <c r="P244" s="25">
        <f t="shared" ref="P244:Q244" si="296">N244</f>
        <v>3000</v>
      </c>
      <c r="Q244" s="25">
        <f t="shared" si="296"/>
        <v>5000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 t="s">
        <v>471</v>
      </c>
      <c r="B245" s="1">
        <f t="shared" si="3"/>
        <v>185</v>
      </c>
      <c r="C245" s="1">
        <f t="shared" si="4"/>
        <v>3</v>
      </c>
      <c r="D245" s="1" t="s">
        <v>789</v>
      </c>
      <c r="E245" s="1" t="s">
        <v>473</v>
      </c>
      <c r="F245" s="1" t="s">
        <v>676</v>
      </c>
      <c r="G245" s="1" t="s">
        <v>790</v>
      </c>
      <c r="H245" s="1"/>
      <c r="I245" s="25">
        <v>19000.0</v>
      </c>
      <c r="J245" s="25">
        <v>24000.0</v>
      </c>
      <c r="K245" s="5">
        <f t="shared" si="293"/>
        <v>20.83333333</v>
      </c>
      <c r="L245" s="25">
        <f t="shared" si="294"/>
        <v>5000</v>
      </c>
      <c r="M245" s="1" t="s">
        <v>451</v>
      </c>
      <c r="N245" s="25">
        <v>19000.0</v>
      </c>
      <c r="O245" s="25">
        <v>24000.0</v>
      </c>
      <c r="P245" s="25">
        <f t="shared" ref="P245:Q245" si="297">N245</f>
        <v>19000</v>
      </c>
      <c r="Q245" s="25">
        <f t="shared" si="297"/>
        <v>24000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 t="s">
        <v>471</v>
      </c>
      <c r="B246" s="1">
        <f t="shared" si="3"/>
        <v>186</v>
      </c>
      <c r="C246" s="1">
        <f t="shared" si="4"/>
        <v>3</v>
      </c>
      <c r="D246" s="1" t="s">
        <v>791</v>
      </c>
      <c r="E246" s="1" t="s">
        <v>473</v>
      </c>
      <c r="F246" s="1" t="s">
        <v>676</v>
      </c>
      <c r="G246" s="1" t="s">
        <v>792</v>
      </c>
      <c r="H246" s="33"/>
      <c r="I246" s="32">
        <v>16000.0</v>
      </c>
      <c r="K246" s="31" t="str">
        <f>(I246-#REF!)/I246*100</f>
        <v>#REF!</v>
      </c>
      <c r="L246" s="32" t="str">
        <f>I246-#REF!</f>
        <v>#REF!</v>
      </c>
      <c r="M246" s="1" t="s">
        <v>451</v>
      </c>
      <c r="N246" s="25" t="str">
        <f>#REF!</f>
        <v>#REF!</v>
      </c>
      <c r="O246" s="25">
        <f>I246</f>
        <v>16000</v>
      </c>
      <c r="P246" s="25" t="str">
        <f t="shared" ref="P246:Q246" si="298">N246</f>
        <v>#REF!</v>
      </c>
      <c r="Q246" s="25">
        <f t="shared" si="298"/>
        <v>16000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 t="s">
        <v>471</v>
      </c>
      <c r="B247" s="1">
        <f t="shared" si="3"/>
        <v>187</v>
      </c>
      <c r="C247" s="1">
        <f t="shared" si="4"/>
        <v>3</v>
      </c>
      <c r="D247" s="1" t="s">
        <v>793</v>
      </c>
      <c r="E247" s="1" t="s">
        <v>473</v>
      </c>
      <c r="F247" s="1" t="s">
        <v>676</v>
      </c>
      <c r="G247" s="1" t="s">
        <v>794</v>
      </c>
      <c r="H247" s="1"/>
      <c r="I247" s="25">
        <v>3000.0</v>
      </c>
      <c r="J247" s="25">
        <v>4000.0</v>
      </c>
      <c r="K247" s="31">
        <f t="shared" ref="K247:K250" si="301">(J247-I247)/J247*100</f>
        <v>25</v>
      </c>
      <c r="L247" s="32">
        <f t="shared" ref="L247:L250" si="302">J247-I247</f>
        <v>1000</v>
      </c>
      <c r="M247" s="1" t="s">
        <v>451</v>
      </c>
      <c r="N247" s="25">
        <f t="shared" ref="N247:O247" si="299">I247</f>
        <v>3000</v>
      </c>
      <c r="O247" s="25">
        <f t="shared" si="299"/>
        <v>4000</v>
      </c>
      <c r="P247" s="25">
        <f t="shared" ref="P247:Q247" si="300">N247</f>
        <v>3000</v>
      </c>
      <c r="Q247" s="25">
        <f t="shared" si="300"/>
        <v>4000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 t="s">
        <v>471</v>
      </c>
      <c r="B248" s="1">
        <f t="shared" si="3"/>
        <v>188</v>
      </c>
      <c r="C248" s="1">
        <f t="shared" si="4"/>
        <v>3</v>
      </c>
      <c r="D248" s="1" t="s">
        <v>795</v>
      </c>
      <c r="E248" s="1" t="s">
        <v>473</v>
      </c>
      <c r="F248" s="1" t="s">
        <v>676</v>
      </c>
      <c r="G248" s="1" t="s">
        <v>796</v>
      </c>
      <c r="H248" s="1"/>
      <c r="I248" s="25">
        <f>9000/12</f>
        <v>750</v>
      </c>
      <c r="J248" s="25">
        <v>1500.0</v>
      </c>
      <c r="K248" s="31">
        <f t="shared" si="301"/>
        <v>50</v>
      </c>
      <c r="L248" s="32">
        <f t="shared" si="302"/>
        <v>750</v>
      </c>
      <c r="M248" s="1" t="s">
        <v>451</v>
      </c>
      <c r="N248" s="25">
        <f t="shared" ref="N248:O248" si="303">I248</f>
        <v>750</v>
      </c>
      <c r="O248" s="25">
        <f t="shared" si="303"/>
        <v>1500</v>
      </c>
      <c r="P248" s="25">
        <f t="shared" ref="P248:Q248" si="304">N248</f>
        <v>750</v>
      </c>
      <c r="Q248" s="25">
        <f t="shared" si="304"/>
        <v>1500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 t="s">
        <v>471</v>
      </c>
      <c r="B249" s="1">
        <f t="shared" si="3"/>
        <v>189</v>
      </c>
      <c r="C249" s="1">
        <f t="shared" si="4"/>
        <v>3</v>
      </c>
      <c r="D249" s="1" t="s">
        <v>797</v>
      </c>
      <c r="E249" s="1" t="s">
        <v>473</v>
      </c>
      <c r="F249" s="1" t="s">
        <v>676</v>
      </c>
      <c r="G249" s="1" t="s">
        <v>798</v>
      </c>
      <c r="H249" s="1"/>
      <c r="I249" s="25">
        <v>10500.0</v>
      </c>
      <c r="J249" s="25">
        <v>14000.0</v>
      </c>
      <c r="K249" s="5">
        <f t="shared" si="301"/>
        <v>25</v>
      </c>
      <c r="L249" s="25">
        <f t="shared" si="302"/>
        <v>3500</v>
      </c>
      <c r="M249" s="1"/>
      <c r="N249" s="25">
        <v>10500.0</v>
      </c>
      <c r="O249" s="25">
        <v>14000.0</v>
      </c>
      <c r="P249" s="25">
        <f t="shared" ref="P249:Q249" si="305">N249</f>
        <v>10500</v>
      </c>
      <c r="Q249" s="25">
        <f t="shared" si="305"/>
        <v>14000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 t="s">
        <v>471</v>
      </c>
      <c r="B250" s="1">
        <f t="shared" si="3"/>
        <v>190</v>
      </c>
      <c r="C250" s="1">
        <f t="shared" si="4"/>
        <v>3</v>
      </c>
      <c r="D250" s="1" t="s">
        <v>799</v>
      </c>
      <c r="E250" s="1" t="s">
        <v>473</v>
      </c>
      <c r="F250" s="1" t="s">
        <v>676</v>
      </c>
      <c r="G250" s="1" t="s">
        <v>800</v>
      </c>
      <c r="H250" s="1"/>
      <c r="I250" s="25">
        <v>12000.0</v>
      </c>
      <c r="J250" s="25">
        <v>16000.0</v>
      </c>
      <c r="K250" s="5">
        <f t="shared" si="301"/>
        <v>25</v>
      </c>
      <c r="L250" s="25">
        <f t="shared" si="302"/>
        <v>4000</v>
      </c>
      <c r="M250" s="1" t="s">
        <v>451</v>
      </c>
      <c r="N250" s="25">
        <f t="shared" ref="N250:O250" si="306">I250</f>
        <v>12000</v>
      </c>
      <c r="O250" s="25">
        <f t="shared" si="306"/>
        <v>16000</v>
      </c>
      <c r="P250" s="25">
        <f t="shared" ref="P250:Q250" si="307">N250</f>
        <v>12000</v>
      </c>
      <c r="Q250" s="25">
        <f t="shared" si="307"/>
        <v>16000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 t="s">
        <v>471</v>
      </c>
      <c r="B251" s="1">
        <f t="shared" si="3"/>
        <v>191</v>
      </c>
      <c r="C251" s="1">
        <f t="shared" si="4"/>
        <v>3</v>
      </c>
      <c r="D251" s="1" t="s">
        <v>801</v>
      </c>
      <c r="E251" s="1" t="s">
        <v>473</v>
      </c>
      <c r="F251" s="1" t="s">
        <v>676</v>
      </c>
      <c r="G251" s="1" t="s">
        <v>802</v>
      </c>
      <c r="H251" s="1"/>
      <c r="I251" s="25">
        <v>18500.0</v>
      </c>
      <c r="J251" s="25">
        <v>25000.0</v>
      </c>
      <c r="K251" s="5"/>
      <c r="L251" s="25"/>
      <c r="M251" s="1"/>
      <c r="N251" s="25">
        <f t="shared" ref="N251:O251" si="308">I251</f>
        <v>18500</v>
      </c>
      <c r="O251" s="25">
        <f t="shared" si="308"/>
        <v>25000</v>
      </c>
      <c r="P251" s="25">
        <f t="shared" ref="P251:Q251" si="309">N251</f>
        <v>18500</v>
      </c>
      <c r="Q251" s="25">
        <f t="shared" si="309"/>
        <v>25000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 t="s">
        <v>471</v>
      </c>
      <c r="B252" s="1">
        <f t="shared" si="3"/>
        <v>192</v>
      </c>
      <c r="C252" s="1">
        <f t="shared" si="4"/>
        <v>3</v>
      </c>
      <c r="D252" s="1" t="s">
        <v>803</v>
      </c>
      <c r="E252" s="1" t="s">
        <v>473</v>
      </c>
      <c r="F252" s="1" t="s">
        <v>676</v>
      </c>
      <c r="G252" s="1" t="s">
        <v>804</v>
      </c>
      <c r="H252" s="1"/>
      <c r="I252" s="25">
        <f>15000/12</f>
        <v>1250</v>
      </c>
      <c r="J252" s="25">
        <v>2000.0</v>
      </c>
      <c r="K252" s="31">
        <f t="shared" ref="K252:K364" si="312">(J252-I252)/J252*100</f>
        <v>37.5</v>
      </c>
      <c r="L252" s="32">
        <f t="shared" ref="L252:L364" si="313">J252-I252</f>
        <v>750</v>
      </c>
      <c r="M252" s="1" t="s">
        <v>451</v>
      </c>
      <c r="N252" s="25">
        <f t="shared" ref="N252:O252" si="310">I252</f>
        <v>1250</v>
      </c>
      <c r="O252" s="25">
        <f t="shared" si="310"/>
        <v>2000</v>
      </c>
      <c r="P252" s="25">
        <f t="shared" ref="P252:Q252" si="311">N252</f>
        <v>1250</v>
      </c>
      <c r="Q252" s="25">
        <f t="shared" si="311"/>
        <v>2000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 t="s">
        <v>471</v>
      </c>
      <c r="B253" s="1">
        <f t="shared" si="3"/>
        <v>193</v>
      </c>
      <c r="C253" s="1">
        <f t="shared" si="4"/>
        <v>3</v>
      </c>
      <c r="D253" s="1" t="s">
        <v>805</v>
      </c>
      <c r="E253" s="1" t="s">
        <v>473</v>
      </c>
      <c r="F253" s="1" t="s">
        <v>676</v>
      </c>
      <c r="G253" s="1" t="s">
        <v>806</v>
      </c>
      <c r="H253" s="1"/>
      <c r="I253" s="25">
        <v>4250.0</v>
      </c>
      <c r="J253" s="25">
        <v>5500.0</v>
      </c>
      <c r="K253" s="5">
        <f t="shared" si="312"/>
        <v>22.72727273</v>
      </c>
      <c r="L253" s="25">
        <f t="shared" si="313"/>
        <v>1250</v>
      </c>
      <c r="M253" s="1" t="s">
        <v>451</v>
      </c>
      <c r="N253" s="25">
        <f t="shared" ref="N253:O253" si="314">I253</f>
        <v>4250</v>
      </c>
      <c r="O253" s="25">
        <f t="shared" si="314"/>
        <v>5500</v>
      </c>
      <c r="P253" s="25">
        <f t="shared" ref="P253:Q253" si="315">N253</f>
        <v>4250</v>
      </c>
      <c r="Q253" s="25">
        <f t="shared" si="315"/>
        <v>5500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 t="s">
        <v>471</v>
      </c>
      <c r="B254" s="1">
        <f t="shared" si="3"/>
        <v>194</v>
      </c>
      <c r="C254" s="1">
        <f t="shared" si="4"/>
        <v>3</v>
      </c>
      <c r="D254" s="1" t="s">
        <v>807</v>
      </c>
      <c r="E254" s="1" t="s">
        <v>473</v>
      </c>
      <c r="F254" s="1" t="s">
        <v>676</v>
      </c>
      <c r="G254" s="1" t="s">
        <v>808</v>
      </c>
      <c r="H254" s="1"/>
      <c r="I254" s="25">
        <v>7000.0</v>
      </c>
      <c r="J254" s="25">
        <v>10000.0</v>
      </c>
      <c r="K254" s="5">
        <f t="shared" si="312"/>
        <v>30</v>
      </c>
      <c r="L254" s="25">
        <f t="shared" si="313"/>
        <v>3000</v>
      </c>
      <c r="M254" s="1" t="s">
        <v>451</v>
      </c>
      <c r="N254" s="25">
        <f t="shared" ref="N254:O254" si="316">I254</f>
        <v>7000</v>
      </c>
      <c r="O254" s="25">
        <f t="shared" si="316"/>
        <v>10000</v>
      </c>
      <c r="P254" s="25">
        <f t="shared" ref="P254:Q254" si="317">N254</f>
        <v>7000</v>
      </c>
      <c r="Q254" s="25">
        <f t="shared" si="317"/>
        <v>10000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 t="s">
        <v>471</v>
      </c>
      <c r="B255" s="1">
        <f t="shared" si="3"/>
        <v>195</v>
      </c>
      <c r="C255" s="1">
        <f t="shared" si="4"/>
        <v>3</v>
      </c>
      <c r="D255" s="1" t="s">
        <v>809</v>
      </c>
      <c r="E255" s="1" t="s">
        <v>473</v>
      </c>
      <c r="F255" s="1" t="s">
        <v>676</v>
      </c>
      <c r="G255" s="1" t="s">
        <v>810</v>
      </c>
      <c r="H255" s="1"/>
      <c r="I255" s="25">
        <v>4000.0</v>
      </c>
      <c r="J255" s="25">
        <v>6000.0</v>
      </c>
      <c r="K255" s="5">
        <f t="shared" si="312"/>
        <v>33.33333333</v>
      </c>
      <c r="L255" s="25">
        <f t="shared" si="313"/>
        <v>2000</v>
      </c>
      <c r="M255" s="1" t="s">
        <v>451</v>
      </c>
      <c r="N255" s="25">
        <f t="shared" ref="N255:O255" si="318">I255</f>
        <v>4000</v>
      </c>
      <c r="O255" s="25">
        <f t="shared" si="318"/>
        <v>6000</v>
      </c>
      <c r="P255" s="25">
        <f t="shared" ref="P255:Q255" si="319">N255</f>
        <v>4000</v>
      </c>
      <c r="Q255" s="25">
        <f t="shared" si="319"/>
        <v>6000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 t="s">
        <v>471</v>
      </c>
      <c r="B256" s="1">
        <f t="shared" si="3"/>
        <v>196</v>
      </c>
      <c r="C256" s="1">
        <f t="shared" si="4"/>
        <v>3</v>
      </c>
      <c r="D256" s="1" t="s">
        <v>811</v>
      </c>
      <c r="E256" s="1" t="s">
        <v>473</v>
      </c>
      <c r="F256" s="1" t="s">
        <v>676</v>
      </c>
      <c r="G256" s="1" t="s">
        <v>812</v>
      </c>
      <c r="H256" s="1"/>
      <c r="I256" s="25">
        <v>7500.0</v>
      </c>
      <c r="J256" s="25">
        <v>10000.0</v>
      </c>
      <c r="K256" s="5">
        <f t="shared" si="312"/>
        <v>25</v>
      </c>
      <c r="L256" s="25">
        <f t="shared" si="313"/>
        <v>2500</v>
      </c>
      <c r="M256" s="1" t="s">
        <v>451</v>
      </c>
      <c r="N256" s="25">
        <f t="shared" ref="N256:O256" si="320">I256</f>
        <v>7500</v>
      </c>
      <c r="O256" s="25">
        <f t="shared" si="320"/>
        <v>10000</v>
      </c>
      <c r="P256" s="25">
        <f t="shared" ref="P256:Q256" si="321">N256</f>
        <v>7500</v>
      </c>
      <c r="Q256" s="25">
        <f t="shared" si="321"/>
        <v>10000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 t="s">
        <v>471</v>
      </c>
      <c r="B257" s="1">
        <f t="shared" si="3"/>
        <v>197</v>
      </c>
      <c r="C257" s="1">
        <f t="shared" si="4"/>
        <v>3</v>
      </c>
      <c r="D257" s="1" t="s">
        <v>813</v>
      </c>
      <c r="E257" s="1" t="s">
        <v>473</v>
      </c>
      <c r="F257" s="1" t="s">
        <v>676</v>
      </c>
      <c r="G257" s="1" t="s">
        <v>814</v>
      </c>
      <c r="H257" s="1"/>
      <c r="I257" s="25">
        <v>13000.0</v>
      </c>
      <c r="J257" s="25">
        <v>17000.0</v>
      </c>
      <c r="K257" s="5">
        <f t="shared" si="312"/>
        <v>23.52941176</v>
      </c>
      <c r="L257" s="25">
        <f t="shared" si="313"/>
        <v>4000</v>
      </c>
      <c r="M257" s="1" t="s">
        <v>451</v>
      </c>
      <c r="N257" s="25">
        <f t="shared" ref="N257:O257" si="322">I257</f>
        <v>13000</v>
      </c>
      <c r="O257" s="25">
        <f t="shared" si="322"/>
        <v>17000</v>
      </c>
      <c r="P257" s="25">
        <f t="shared" ref="P257:Q257" si="323">N257</f>
        <v>13000</v>
      </c>
      <c r="Q257" s="25">
        <f t="shared" si="323"/>
        <v>17000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 t="s">
        <v>471</v>
      </c>
      <c r="B258" s="1">
        <f t="shared" si="3"/>
        <v>198</v>
      </c>
      <c r="C258" s="1">
        <f t="shared" si="4"/>
        <v>3</v>
      </c>
      <c r="D258" s="1" t="s">
        <v>235</v>
      </c>
      <c r="E258" s="1" t="s">
        <v>473</v>
      </c>
      <c r="F258" s="1" t="s">
        <v>676</v>
      </c>
      <c r="G258" s="1" t="s">
        <v>815</v>
      </c>
      <c r="H258" s="1"/>
      <c r="I258" s="25">
        <v>16500.0</v>
      </c>
      <c r="J258" s="25">
        <v>22000.0</v>
      </c>
      <c r="K258" s="5">
        <f t="shared" si="312"/>
        <v>25</v>
      </c>
      <c r="L258" s="25">
        <f t="shared" si="313"/>
        <v>5500</v>
      </c>
      <c r="M258" s="1" t="s">
        <v>451</v>
      </c>
      <c r="N258" s="25">
        <f t="shared" ref="N258:O258" si="324">I258</f>
        <v>16500</v>
      </c>
      <c r="O258" s="25">
        <f t="shared" si="324"/>
        <v>22000</v>
      </c>
      <c r="P258" s="25">
        <f t="shared" ref="P258:Q258" si="325">N258</f>
        <v>16500</v>
      </c>
      <c r="Q258" s="25">
        <f t="shared" si="325"/>
        <v>22000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 t="s">
        <v>471</v>
      </c>
      <c r="B259" s="1">
        <f t="shared" si="3"/>
        <v>199</v>
      </c>
      <c r="C259" s="1">
        <f t="shared" si="4"/>
        <v>3</v>
      </c>
      <c r="D259" s="1" t="s">
        <v>816</v>
      </c>
      <c r="E259" s="1" t="s">
        <v>473</v>
      </c>
      <c r="F259" s="1" t="s">
        <v>676</v>
      </c>
      <c r="G259" s="35" t="s">
        <v>817</v>
      </c>
      <c r="H259" s="1"/>
      <c r="I259" s="25">
        <v>14500.0</v>
      </c>
      <c r="J259" s="25">
        <v>18000.0</v>
      </c>
      <c r="K259" s="5">
        <f t="shared" si="312"/>
        <v>19.44444444</v>
      </c>
      <c r="L259" s="25">
        <f t="shared" si="313"/>
        <v>3500</v>
      </c>
      <c r="M259" s="1" t="s">
        <v>451</v>
      </c>
      <c r="N259" s="25">
        <f t="shared" ref="N259:O259" si="326">I259</f>
        <v>14500</v>
      </c>
      <c r="O259" s="25">
        <f t="shared" si="326"/>
        <v>18000</v>
      </c>
      <c r="P259" s="25">
        <f t="shared" ref="P259:Q259" si="327">N259</f>
        <v>14500</v>
      </c>
      <c r="Q259" s="25">
        <f t="shared" si="327"/>
        <v>18000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 t="s">
        <v>818</v>
      </c>
      <c r="B260" s="1">
        <f>IF(A253=A260,B253+1,1)</f>
        <v>1</v>
      </c>
      <c r="C260" s="1">
        <f>IF(A253=A260,C253,C253+1)</f>
        <v>4</v>
      </c>
      <c r="D260" s="1" t="s">
        <v>819</v>
      </c>
      <c r="E260" s="1" t="s">
        <v>820</v>
      </c>
      <c r="F260" s="1" t="s">
        <v>821</v>
      </c>
      <c r="G260" s="1" t="s">
        <v>822</v>
      </c>
      <c r="H260" s="1"/>
      <c r="I260" s="25">
        <v>47000.0</v>
      </c>
      <c r="J260" s="25">
        <v>55000.0</v>
      </c>
      <c r="K260" s="5">
        <f t="shared" si="312"/>
        <v>14.54545455</v>
      </c>
      <c r="L260" s="25">
        <f t="shared" si="313"/>
        <v>8000</v>
      </c>
      <c r="M260" s="1" t="s">
        <v>451</v>
      </c>
      <c r="N260" s="25">
        <f t="shared" ref="N260:O260" si="328">I260</f>
        <v>47000</v>
      </c>
      <c r="O260" s="25">
        <f t="shared" si="328"/>
        <v>55000</v>
      </c>
      <c r="P260" s="25">
        <f t="shared" ref="P260:Q260" si="329">N260</f>
        <v>47000</v>
      </c>
      <c r="Q260" s="25">
        <f t="shared" si="329"/>
        <v>55000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 t="s">
        <v>818</v>
      </c>
      <c r="B261" s="1">
        <f t="shared" ref="B261:B364" si="331">IF(A260=A261,B260+1,1)</f>
        <v>2</v>
      </c>
      <c r="C261" s="1">
        <f t="shared" ref="C261:C364" si="332">IF(A260=A261,C260,C260+1)</f>
        <v>4</v>
      </c>
      <c r="D261" s="1" t="s">
        <v>823</v>
      </c>
      <c r="E261" s="1" t="s">
        <v>820</v>
      </c>
      <c r="F261" s="1" t="s">
        <v>821</v>
      </c>
      <c r="G261" s="1" t="s">
        <v>824</v>
      </c>
      <c r="H261" s="1"/>
      <c r="I261" s="25">
        <v>8600.0</v>
      </c>
      <c r="J261" s="25">
        <v>12000.0</v>
      </c>
      <c r="K261" s="5">
        <f t="shared" si="312"/>
        <v>28.33333333</v>
      </c>
      <c r="L261" s="25">
        <f t="shared" si="313"/>
        <v>3400</v>
      </c>
      <c r="M261" s="1" t="s">
        <v>451</v>
      </c>
      <c r="N261" s="25">
        <v>8600.0</v>
      </c>
      <c r="O261" s="25">
        <v>12000.0</v>
      </c>
      <c r="P261" s="25">
        <f t="shared" ref="P261:Q261" si="330">N261</f>
        <v>8600</v>
      </c>
      <c r="Q261" s="25">
        <f t="shared" si="330"/>
        <v>12000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 t="s">
        <v>818</v>
      </c>
      <c r="B262" s="1">
        <f t="shared" si="331"/>
        <v>3</v>
      </c>
      <c r="C262" s="1">
        <f t="shared" si="332"/>
        <v>4</v>
      </c>
      <c r="D262" s="1" t="s">
        <v>825</v>
      </c>
      <c r="E262" s="1" t="s">
        <v>820</v>
      </c>
      <c r="F262" s="1" t="s">
        <v>826</v>
      </c>
      <c r="G262" s="1" t="s">
        <v>827</v>
      </c>
      <c r="H262" s="1"/>
      <c r="I262" s="25">
        <v>39000.0</v>
      </c>
      <c r="J262" s="25">
        <v>60000.0</v>
      </c>
      <c r="K262" s="5">
        <f t="shared" si="312"/>
        <v>35</v>
      </c>
      <c r="L262" s="25">
        <f t="shared" si="313"/>
        <v>21000</v>
      </c>
      <c r="M262" s="1"/>
      <c r="N262" s="25">
        <v>39000.0</v>
      </c>
      <c r="O262" s="25">
        <v>60000.0</v>
      </c>
      <c r="P262" s="25">
        <f t="shared" ref="P262:Q262" si="333">N262</f>
        <v>39000</v>
      </c>
      <c r="Q262" s="25">
        <f t="shared" si="333"/>
        <v>60000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 t="s">
        <v>818</v>
      </c>
      <c r="B263" s="1">
        <f t="shared" si="331"/>
        <v>4</v>
      </c>
      <c r="C263" s="1">
        <f t="shared" si="332"/>
        <v>4</v>
      </c>
      <c r="D263" s="1" t="s">
        <v>828</v>
      </c>
      <c r="E263" s="1" t="s">
        <v>820</v>
      </c>
      <c r="F263" s="1" t="s">
        <v>826</v>
      </c>
      <c r="G263" s="1" t="s">
        <v>829</v>
      </c>
      <c r="H263" s="1"/>
      <c r="I263" s="25">
        <v>15000.0</v>
      </c>
      <c r="J263" s="25">
        <v>25000.0</v>
      </c>
      <c r="K263" s="5">
        <f t="shared" si="312"/>
        <v>40</v>
      </c>
      <c r="L263" s="25">
        <f t="shared" si="313"/>
        <v>10000</v>
      </c>
      <c r="M263" s="1"/>
      <c r="N263" s="25">
        <v>15000.0</v>
      </c>
      <c r="O263" s="25">
        <v>25000.0</v>
      </c>
      <c r="P263" s="25">
        <f t="shared" ref="P263:Q263" si="334">N263</f>
        <v>15000</v>
      </c>
      <c r="Q263" s="25">
        <f t="shared" si="334"/>
        <v>25000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 t="s">
        <v>818</v>
      </c>
      <c r="B264" s="1">
        <f t="shared" si="331"/>
        <v>5</v>
      </c>
      <c r="C264" s="1">
        <f t="shared" si="332"/>
        <v>4</v>
      </c>
      <c r="D264" s="1" t="s">
        <v>830</v>
      </c>
      <c r="E264" s="1" t="s">
        <v>820</v>
      </c>
      <c r="F264" s="1" t="s">
        <v>826</v>
      </c>
      <c r="G264" s="1" t="s">
        <v>831</v>
      </c>
      <c r="H264" s="1"/>
      <c r="I264" s="25">
        <v>73000.0</v>
      </c>
      <c r="J264" s="25">
        <v>100000.0</v>
      </c>
      <c r="K264" s="5">
        <f t="shared" si="312"/>
        <v>27</v>
      </c>
      <c r="L264" s="25">
        <f t="shared" si="313"/>
        <v>27000</v>
      </c>
      <c r="M264" s="1"/>
      <c r="N264" s="25">
        <v>73000.0</v>
      </c>
      <c r="O264" s="25">
        <v>100000.0</v>
      </c>
      <c r="P264" s="25">
        <f t="shared" ref="P264:Q264" si="335">N264</f>
        <v>73000</v>
      </c>
      <c r="Q264" s="25">
        <f t="shared" si="335"/>
        <v>100000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 t="s">
        <v>818</v>
      </c>
      <c r="B265" s="1">
        <f t="shared" si="331"/>
        <v>6</v>
      </c>
      <c r="C265" s="1">
        <f t="shared" si="332"/>
        <v>4</v>
      </c>
      <c r="D265" s="1" t="s">
        <v>148</v>
      </c>
      <c r="E265" s="1" t="s">
        <v>820</v>
      </c>
      <c r="F265" s="1" t="s">
        <v>826</v>
      </c>
      <c r="G265" s="1" t="s">
        <v>832</v>
      </c>
      <c r="H265" s="1"/>
      <c r="I265" s="25">
        <v>22000.0</v>
      </c>
      <c r="J265" s="25">
        <v>35000.0</v>
      </c>
      <c r="K265" s="5">
        <f t="shared" si="312"/>
        <v>37.14285714</v>
      </c>
      <c r="L265" s="25">
        <f t="shared" si="313"/>
        <v>13000</v>
      </c>
      <c r="M265" s="1"/>
      <c r="N265" s="25">
        <v>22000.0</v>
      </c>
      <c r="O265" s="25">
        <v>35000.0</v>
      </c>
      <c r="P265" s="25">
        <f t="shared" ref="P265:Q265" si="336">N265</f>
        <v>22000</v>
      </c>
      <c r="Q265" s="25">
        <f t="shared" si="336"/>
        <v>35000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 t="s">
        <v>818</v>
      </c>
      <c r="B266" s="1">
        <f t="shared" si="331"/>
        <v>7</v>
      </c>
      <c r="C266" s="1">
        <f t="shared" si="332"/>
        <v>4</v>
      </c>
      <c r="D266" s="1" t="s">
        <v>833</v>
      </c>
      <c r="E266" s="1" t="s">
        <v>820</v>
      </c>
      <c r="F266" s="1" t="s">
        <v>826</v>
      </c>
      <c r="G266" s="1" t="s">
        <v>834</v>
      </c>
      <c r="H266" s="1"/>
      <c r="I266" s="25">
        <v>38000.0</v>
      </c>
      <c r="J266" s="25">
        <v>60000.0</v>
      </c>
      <c r="K266" s="5">
        <f t="shared" si="312"/>
        <v>36.66666667</v>
      </c>
      <c r="L266" s="25">
        <f t="shared" si="313"/>
        <v>22000</v>
      </c>
      <c r="M266" s="1"/>
      <c r="N266" s="25">
        <v>38000.0</v>
      </c>
      <c r="O266" s="25">
        <v>60000.0</v>
      </c>
      <c r="P266" s="25">
        <f t="shared" ref="P266:Q266" si="337">N266</f>
        <v>38000</v>
      </c>
      <c r="Q266" s="25">
        <f t="shared" si="337"/>
        <v>60000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 t="s">
        <v>818</v>
      </c>
      <c r="B267" s="1">
        <f t="shared" si="331"/>
        <v>8</v>
      </c>
      <c r="C267" s="1">
        <f t="shared" si="332"/>
        <v>4</v>
      </c>
      <c r="D267" s="1" t="s">
        <v>121</v>
      </c>
      <c r="E267" s="1" t="s">
        <v>820</v>
      </c>
      <c r="F267" s="1" t="s">
        <v>826</v>
      </c>
      <c r="G267" s="1" t="s">
        <v>835</v>
      </c>
      <c r="H267" s="1"/>
      <c r="I267" s="25">
        <v>75000.0</v>
      </c>
      <c r="J267" s="1">
        <v>110000.0</v>
      </c>
      <c r="K267" s="5">
        <f t="shared" si="312"/>
        <v>31.81818182</v>
      </c>
      <c r="L267" s="25">
        <f t="shared" si="313"/>
        <v>35000</v>
      </c>
      <c r="M267" s="1"/>
      <c r="N267" s="25">
        <v>75000.0</v>
      </c>
      <c r="O267" s="1">
        <v>110000.0</v>
      </c>
      <c r="P267" s="25">
        <f t="shared" ref="P267:Q267" si="338">N267</f>
        <v>75000</v>
      </c>
      <c r="Q267" s="1">
        <f t="shared" si="338"/>
        <v>110000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 t="s">
        <v>818</v>
      </c>
      <c r="B268" s="1">
        <f t="shared" si="331"/>
        <v>9</v>
      </c>
      <c r="C268" s="1">
        <f t="shared" si="332"/>
        <v>4</v>
      </c>
      <c r="D268" s="1" t="s">
        <v>85</v>
      </c>
      <c r="E268" s="1" t="s">
        <v>820</v>
      </c>
      <c r="F268" s="1" t="s">
        <v>826</v>
      </c>
      <c r="G268" s="1" t="s">
        <v>836</v>
      </c>
      <c r="H268" s="1"/>
      <c r="I268" s="25">
        <v>23000.0</v>
      </c>
      <c r="J268" s="25">
        <v>35000.0</v>
      </c>
      <c r="K268" s="5">
        <f t="shared" si="312"/>
        <v>34.28571429</v>
      </c>
      <c r="L268" s="25">
        <f t="shared" si="313"/>
        <v>12000</v>
      </c>
      <c r="M268" s="1"/>
      <c r="N268" s="25">
        <v>23000.0</v>
      </c>
      <c r="O268" s="25">
        <v>35000.0</v>
      </c>
      <c r="P268" s="25">
        <f t="shared" ref="P268:Q268" si="339">N268</f>
        <v>23000</v>
      </c>
      <c r="Q268" s="25">
        <f t="shared" si="339"/>
        <v>35000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 t="s">
        <v>818</v>
      </c>
      <c r="B269" s="1">
        <f t="shared" si="331"/>
        <v>10</v>
      </c>
      <c r="C269" s="1">
        <f t="shared" si="332"/>
        <v>4</v>
      </c>
      <c r="D269" s="1" t="s">
        <v>837</v>
      </c>
      <c r="E269" s="1" t="s">
        <v>820</v>
      </c>
      <c r="F269" s="1" t="s">
        <v>826</v>
      </c>
      <c r="G269" s="1" t="s">
        <v>838</v>
      </c>
      <c r="H269" s="1"/>
      <c r="I269" s="25">
        <v>268500.0</v>
      </c>
      <c r="J269" s="25">
        <v>295000.0</v>
      </c>
      <c r="K269" s="5">
        <f t="shared" si="312"/>
        <v>8.983050847</v>
      </c>
      <c r="L269" s="25">
        <f t="shared" si="313"/>
        <v>26500</v>
      </c>
      <c r="M269" s="1"/>
      <c r="N269" s="25">
        <f t="shared" ref="N269:O269" si="340">I269</f>
        <v>268500</v>
      </c>
      <c r="O269" s="25">
        <f t="shared" si="340"/>
        <v>295000</v>
      </c>
      <c r="P269" s="25">
        <f t="shared" ref="P269:Q269" si="341">N269</f>
        <v>268500</v>
      </c>
      <c r="Q269" s="25">
        <f t="shared" si="341"/>
        <v>295000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 t="s">
        <v>818</v>
      </c>
      <c r="B270" s="1">
        <f t="shared" si="331"/>
        <v>11</v>
      </c>
      <c r="C270" s="1">
        <f t="shared" si="332"/>
        <v>4</v>
      </c>
      <c r="D270" s="1" t="s">
        <v>102</v>
      </c>
      <c r="E270" s="1" t="s">
        <v>820</v>
      </c>
      <c r="F270" s="1" t="s">
        <v>826</v>
      </c>
      <c r="G270" s="1" t="s">
        <v>839</v>
      </c>
      <c r="H270" s="1"/>
      <c r="I270" s="25">
        <v>35000.0</v>
      </c>
      <c r="J270" s="25">
        <v>45000.0</v>
      </c>
      <c r="K270" s="5">
        <f t="shared" si="312"/>
        <v>22.22222222</v>
      </c>
      <c r="L270" s="25">
        <f t="shared" si="313"/>
        <v>10000</v>
      </c>
      <c r="M270" s="1"/>
      <c r="N270" s="25">
        <f t="shared" ref="N270:O270" si="342">I270</f>
        <v>35000</v>
      </c>
      <c r="O270" s="25">
        <f t="shared" si="342"/>
        <v>45000</v>
      </c>
      <c r="P270" s="25">
        <f t="shared" ref="P270:Q270" si="343">N270</f>
        <v>35000</v>
      </c>
      <c r="Q270" s="25">
        <f t="shared" si="343"/>
        <v>45000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 t="s">
        <v>818</v>
      </c>
      <c r="B271" s="1">
        <f t="shared" si="331"/>
        <v>12</v>
      </c>
      <c r="C271" s="1">
        <f t="shared" si="332"/>
        <v>4</v>
      </c>
      <c r="D271" s="1" t="s">
        <v>840</v>
      </c>
      <c r="E271" s="1" t="s">
        <v>820</v>
      </c>
      <c r="F271" s="1" t="s">
        <v>841</v>
      </c>
      <c r="G271" s="1" t="s">
        <v>842</v>
      </c>
      <c r="H271" s="1"/>
      <c r="I271" s="25">
        <v>68000.0</v>
      </c>
      <c r="J271" s="25">
        <v>75000.0</v>
      </c>
      <c r="K271" s="5">
        <f t="shared" si="312"/>
        <v>9.333333333</v>
      </c>
      <c r="L271" s="25">
        <f t="shared" si="313"/>
        <v>7000</v>
      </c>
      <c r="M271" s="1"/>
      <c r="N271" s="25">
        <v>68000.0</v>
      </c>
      <c r="O271" s="25">
        <v>75000.0</v>
      </c>
      <c r="P271" s="25">
        <f t="shared" ref="P271:Q271" si="344">N271</f>
        <v>68000</v>
      </c>
      <c r="Q271" s="25">
        <f t="shared" si="344"/>
        <v>75000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 t="s">
        <v>818</v>
      </c>
      <c r="B272" s="1">
        <f t="shared" si="331"/>
        <v>13</v>
      </c>
      <c r="C272" s="1">
        <f t="shared" si="332"/>
        <v>4</v>
      </c>
      <c r="D272" s="17" t="s">
        <v>82</v>
      </c>
      <c r="E272" s="1" t="s">
        <v>820</v>
      </c>
      <c r="F272" s="1" t="s">
        <v>841</v>
      </c>
      <c r="G272" s="1" t="s">
        <v>843</v>
      </c>
      <c r="H272" s="1"/>
      <c r="I272" s="25">
        <v>36000.0</v>
      </c>
      <c r="J272" s="25">
        <v>42000.0</v>
      </c>
      <c r="K272" s="5">
        <f t="shared" si="312"/>
        <v>14.28571429</v>
      </c>
      <c r="L272" s="25">
        <f t="shared" si="313"/>
        <v>6000</v>
      </c>
      <c r="M272" s="1"/>
      <c r="N272" s="25">
        <v>36000.0</v>
      </c>
      <c r="O272" s="25">
        <v>42000.0</v>
      </c>
      <c r="P272" s="25">
        <f t="shared" ref="P272:Q272" si="345">N272</f>
        <v>36000</v>
      </c>
      <c r="Q272" s="25">
        <f t="shared" si="345"/>
        <v>42000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 t="s">
        <v>818</v>
      </c>
      <c r="B273" s="1">
        <f t="shared" si="331"/>
        <v>14</v>
      </c>
      <c r="C273" s="1">
        <f t="shared" si="332"/>
        <v>4</v>
      </c>
      <c r="D273" s="1" t="s">
        <v>844</v>
      </c>
      <c r="E273" s="1" t="s">
        <v>820</v>
      </c>
      <c r="F273" s="1" t="s">
        <v>841</v>
      </c>
      <c r="G273" s="1" t="s">
        <v>845</v>
      </c>
      <c r="H273" s="1"/>
      <c r="I273" s="25">
        <v>56000.0</v>
      </c>
      <c r="J273" s="25">
        <v>65000.0</v>
      </c>
      <c r="K273" s="5">
        <f t="shared" si="312"/>
        <v>13.84615385</v>
      </c>
      <c r="L273" s="25">
        <f t="shared" si="313"/>
        <v>9000</v>
      </c>
      <c r="M273" s="1"/>
      <c r="N273" s="25">
        <v>56000.0</v>
      </c>
      <c r="O273" s="25">
        <v>65000.0</v>
      </c>
      <c r="P273" s="25">
        <f t="shared" ref="P273:Q273" si="346">N273</f>
        <v>56000</v>
      </c>
      <c r="Q273" s="25">
        <f t="shared" si="346"/>
        <v>65000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 t="s">
        <v>818</v>
      </c>
      <c r="B274" s="1">
        <f t="shared" si="331"/>
        <v>15</v>
      </c>
      <c r="C274" s="1">
        <f t="shared" si="332"/>
        <v>4</v>
      </c>
      <c r="D274" s="1" t="s">
        <v>846</v>
      </c>
      <c r="E274" s="1" t="s">
        <v>820</v>
      </c>
      <c r="F274" s="1" t="s">
        <v>841</v>
      </c>
      <c r="G274" s="1" t="s">
        <v>847</v>
      </c>
      <c r="H274" s="1"/>
      <c r="I274" s="25">
        <v>31500.0</v>
      </c>
      <c r="J274" s="1">
        <v>45000.0</v>
      </c>
      <c r="K274" s="5">
        <f t="shared" si="312"/>
        <v>30</v>
      </c>
      <c r="L274" s="25">
        <f t="shared" si="313"/>
        <v>13500</v>
      </c>
      <c r="M274" s="1"/>
      <c r="N274" s="25">
        <v>31500.0</v>
      </c>
      <c r="O274" s="1">
        <v>45000.0</v>
      </c>
      <c r="P274" s="25">
        <f t="shared" ref="P274:Q274" si="347">N274</f>
        <v>31500</v>
      </c>
      <c r="Q274" s="1">
        <f t="shared" si="347"/>
        <v>45000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 t="s">
        <v>818</v>
      </c>
      <c r="B275" s="1">
        <f t="shared" si="331"/>
        <v>16</v>
      </c>
      <c r="C275" s="1">
        <f t="shared" si="332"/>
        <v>4</v>
      </c>
      <c r="D275" s="1" t="s">
        <v>848</v>
      </c>
      <c r="E275" s="1" t="s">
        <v>820</v>
      </c>
      <c r="F275" s="1" t="s">
        <v>841</v>
      </c>
      <c r="G275" s="1" t="s">
        <v>849</v>
      </c>
      <c r="H275" s="33"/>
      <c r="I275" s="32">
        <v>17500.0</v>
      </c>
      <c r="J275" s="32">
        <v>25000.0</v>
      </c>
      <c r="K275" s="31">
        <f t="shared" si="312"/>
        <v>30</v>
      </c>
      <c r="L275" s="32">
        <f t="shared" si="313"/>
        <v>7500</v>
      </c>
      <c r="M275" s="1" t="s">
        <v>591</v>
      </c>
      <c r="N275" s="25">
        <f t="shared" ref="N275:O275" si="348">I275</f>
        <v>17500</v>
      </c>
      <c r="O275" s="25">
        <f t="shared" si="348"/>
        <v>25000</v>
      </c>
      <c r="P275" s="25">
        <f t="shared" ref="P275:Q275" si="349">N275</f>
        <v>17500</v>
      </c>
      <c r="Q275" s="25">
        <f t="shared" si="349"/>
        <v>25000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 t="s">
        <v>818</v>
      </c>
      <c r="B276" s="1">
        <f t="shared" si="331"/>
        <v>17</v>
      </c>
      <c r="C276" s="1">
        <f t="shared" si="332"/>
        <v>4</v>
      </c>
      <c r="D276" s="1" t="s">
        <v>850</v>
      </c>
      <c r="E276" s="1" t="s">
        <v>820</v>
      </c>
      <c r="F276" s="1" t="s">
        <v>841</v>
      </c>
      <c r="G276" s="1" t="s">
        <v>851</v>
      </c>
      <c r="H276" s="1"/>
      <c r="I276" s="25">
        <v>26000.0</v>
      </c>
      <c r="J276" s="25">
        <v>35000.0</v>
      </c>
      <c r="K276" s="5">
        <f t="shared" si="312"/>
        <v>25.71428571</v>
      </c>
      <c r="L276" s="25">
        <f t="shared" si="313"/>
        <v>9000</v>
      </c>
      <c r="M276" s="1" t="s">
        <v>591</v>
      </c>
      <c r="N276" s="25">
        <v>26000.0</v>
      </c>
      <c r="O276" s="25">
        <v>35000.0</v>
      </c>
      <c r="P276" s="25">
        <f t="shared" ref="P276:Q276" si="350">N276</f>
        <v>26000</v>
      </c>
      <c r="Q276" s="25">
        <f t="shared" si="350"/>
        <v>35000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 t="s">
        <v>818</v>
      </c>
      <c r="B277" s="1">
        <f t="shared" si="331"/>
        <v>18</v>
      </c>
      <c r="C277" s="1">
        <f t="shared" si="332"/>
        <v>4</v>
      </c>
      <c r="D277" s="1" t="s">
        <v>852</v>
      </c>
      <c r="E277" s="1" t="s">
        <v>820</v>
      </c>
      <c r="F277" s="1" t="s">
        <v>841</v>
      </c>
      <c r="G277" s="1" t="s">
        <v>853</v>
      </c>
      <c r="H277" s="1"/>
      <c r="I277" s="25">
        <v>26000.0</v>
      </c>
      <c r="J277" s="25">
        <v>35000.0</v>
      </c>
      <c r="K277" s="5">
        <f t="shared" si="312"/>
        <v>25.71428571</v>
      </c>
      <c r="L277" s="25">
        <f t="shared" si="313"/>
        <v>9000</v>
      </c>
      <c r="M277" s="1" t="s">
        <v>451</v>
      </c>
      <c r="N277" s="25">
        <v>26000.0</v>
      </c>
      <c r="O277" s="25">
        <v>35000.0</v>
      </c>
      <c r="P277" s="25">
        <f t="shared" ref="P277:Q277" si="351">N277</f>
        <v>26000</v>
      </c>
      <c r="Q277" s="25">
        <f t="shared" si="351"/>
        <v>35000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 t="s">
        <v>818</v>
      </c>
      <c r="B278" s="1">
        <f t="shared" si="331"/>
        <v>19</v>
      </c>
      <c r="C278" s="1">
        <f t="shared" si="332"/>
        <v>4</v>
      </c>
      <c r="D278" s="1" t="s">
        <v>167</v>
      </c>
      <c r="E278" s="1" t="s">
        <v>820</v>
      </c>
      <c r="F278" s="1" t="s">
        <v>841</v>
      </c>
      <c r="G278" s="1" t="s">
        <v>854</v>
      </c>
      <c r="H278" s="1"/>
      <c r="I278" s="25">
        <v>2600.0</v>
      </c>
      <c r="J278" s="25">
        <v>5000.0</v>
      </c>
      <c r="K278" s="5">
        <f t="shared" si="312"/>
        <v>48</v>
      </c>
      <c r="L278" s="25">
        <f t="shared" si="313"/>
        <v>2400</v>
      </c>
      <c r="M278" s="1" t="s">
        <v>451</v>
      </c>
      <c r="N278" s="25">
        <v>2600.0</v>
      </c>
      <c r="O278" s="25">
        <v>5000.0</v>
      </c>
      <c r="P278" s="25">
        <f t="shared" ref="P278:Q278" si="352">N278</f>
        <v>2600</v>
      </c>
      <c r="Q278" s="25">
        <f t="shared" si="352"/>
        <v>5000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 t="s">
        <v>818</v>
      </c>
      <c r="B279" s="1">
        <f t="shared" si="331"/>
        <v>20</v>
      </c>
      <c r="C279" s="1">
        <f t="shared" si="332"/>
        <v>4</v>
      </c>
      <c r="D279" s="1" t="s">
        <v>201</v>
      </c>
      <c r="E279" s="1" t="s">
        <v>820</v>
      </c>
      <c r="F279" s="1" t="s">
        <v>841</v>
      </c>
      <c r="G279" s="1" t="s">
        <v>855</v>
      </c>
      <c r="H279" s="1"/>
      <c r="I279" s="25">
        <v>27000.0</v>
      </c>
      <c r="J279" s="25">
        <v>35000.0</v>
      </c>
      <c r="K279" s="5">
        <f t="shared" si="312"/>
        <v>22.85714286</v>
      </c>
      <c r="L279" s="25">
        <f t="shared" si="313"/>
        <v>8000</v>
      </c>
      <c r="M279" s="1" t="s">
        <v>451</v>
      </c>
      <c r="N279" s="25">
        <v>27000.0</v>
      </c>
      <c r="O279" s="25">
        <v>35000.0</v>
      </c>
      <c r="P279" s="25">
        <f t="shared" ref="P279:Q279" si="353">N279</f>
        <v>27000</v>
      </c>
      <c r="Q279" s="25">
        <f t="shared" si="353"/>
        <v>35000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 t="s">
        <v>818</v>
      </c>
      <c r="B280" s="1">
        <f t="shared" si="331"/>
        <v>21</v>
      </c>
      <c r="C280" s="1">
        <f t="shared" si="332"/>
        <v>4</v>
      </c>
      <c r="D280" s="1" t="s">
        <v>856</v>
      </c>
      <c r="E280" s="1" t="s">
        <v>820</v>
      </c>
      <c r="F280" s="1" t="s">
        <v>841</v>
      </c>
      <c r="G280" s="1" t="s">
        <v>857</v>
      </c>
      <c r="H280" s="1"/>
      <c r="I280" s="25">
        <v>20000.0</v>
      </c>
      <c r="J280" s="25">
        <v>25000.0</v>
      </c>
      <c r="K280" s="5">
        <f t="shared" si="312"/>
        <v>20</v>
      </c>
      <c r="L280" s="25">
        <f t="shared" si="313"/>
        <v>5000</v>
      </c>
      <c r="M280" s="1"/>
      <c r="N280" s="25">
        <v>20000.0</v>
      </c>
      <c r="O280" s="25">
        <v>25000.0</v>
      </c>
      <c r="P280" s="25">
        <f t="shared" ref="P280:Q280" si="354">N280</f>
        <v>20000</v>
      </c>
      <c r="Q280" s="25">
        <f t="shared" si="354"/>
        <v>25000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 t="s">
        <v>818</v>
      </c>
      <c r="B281" s="1">
        <f t="shared" si="331"/>
        <v>22</v>
      </c>
      <c r="C281" s="1">
        <f t="shared" si="332"/>
        <v>4</v>
      </c>
      <c r="D281" s="1" t="s">
        <v>858</v>
      </c>
      <c r="E281" s="1" t="s">
        <v>820</v>
      </c>
      <c r="F281" s="1" t="s">
        <v>841</v>
      </c>
      <c r="G281" s="35" t="s">
        <v>859</v>
      </c>
      <c r="H281" s="1"/>
      <c r="I281" s="25">
        <v>86000.0</v>
      </c>
      <c r="J281" s="25">
        <v>98000.0</v>
      </c>
      <c r="K281" s="31">
        <f t="shared" si="312"/>
        <v>12.24489796</v>
      </c>
      <c r="L281" s="32">
        <f t="shared" si="313"/>
        <v>12000</v>
      </c>
      <c r="M281" s="1" t="s">
        <v>591</v>
      </c>
      <c r="N281" s="25">
        <f t="shared" ref="N281:O281" si="355">I281</f>
        <v>86000</v>
      </c>
      <c r="O281" s="25">
        <f t="shared" si="355"/>
        <v>98000</v>
      </c>
      <c r="P281" s="25">
        <f t="shared" ref="P281:Q281" si="356">N281</f>
        <v>86000</v>
      </c>
      <c r="Q281" s="25">
        <f t="shared" si="356"/>
        <v>98000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 t="s">
        <v>818</v>
      </c>
      <c r="B282" s="1">
        <f t="shared" si="331"/>
        <v>23</v>
      </c>
      <c r="C282" s="1">
        <f t="shared" si="332"/>
        <v>4</v>
      </c>
      <c r="D282" s="1" t="s">
        <v>860</v>
      </c>
      <c r="E282" s="1" t="s">
        <v>820</v>
      </c>
      <c r="F282" s="1" t="s">
        <v>841</v>
      </c>
      <c r="G282" s="1" t="s">
        <v>861</v>
      </c>
      <c r="H282" s="1"/>
      <c r="I282" s="25">
        <v>7000.0</v>
      </c>
      <c r="J282" s="25">
        <v>10000.0</v>
      </c>
      <c r="K282" s="5">
        <f t="shared" si="312"/>
        <v>30</v>
      </c>
      <c r="L282" s="25">
        <f t="shared" si="313"/>
        <v>3000</v>
      </c>
      <c r="M282" s="1"/>
      <c r="N282" s="25">
        <v>7000.0</v>
      </c>
      <c r="O282" s="25">
        <v>10000.0</v>
      </c>
      <c r="P282" s="25">
        <f t="shared" ref="P282:Q282" si="357">N282</f>
        <v>7000</v>
      </c>
      <c r="Q282" s="25">
        <f t="shared" si="357"/>
        <v>10000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 t="s">
        <v>818</v>
      </c>
      <c r="B283" s="1">
        <f t="shared" si="331"/>
        <v>24</v>
      </c>
      <c r="C283" s="1">
        <f t="shared" si="332"/>
        <v>4</v>
      </c>
      <c r="D283" s="1" t="s">
        <v>862</v>
      </c>
      <c r="E283" s="1" t="s">
        <v>820</v>
      </c>
      <c r="F283" s="1" t="s">
        <v>841</v>
      </c>
      <c r="G283" s="1" t="s">
        <v>863</v>
      </c>
      <c r="H283" s="1"/>
      <c r="I283" s="25">
        <v>105000.0</v>
      </c>
      <c r="J283" s="25">
        <v>110000.0</v>
      </c>
      <c r="K283" s="5">
        <f t="shared" si="312"/>
        <v>4.545454545</v>
      </c>
      <c r="L283" s="25">
        <f t="shared" si="313"/>
        <v>5000</v>
      </c>
      <c r="M283" s="1" t="s">
        <v>451</v>
      </c>
      <c r="N283" s="25">
        <v>105000.0</v>
      </c>
      <c r="O283" s="25">
        <v>110000.0</v>
      </c>
      <c r="P283" s="25">
        <f t="shared" ref="P283:Q283" si="358">N283</f>
        <v>105000</v>
      </c>
      <c r="Q283" s="25">
        <f t="shared" si="358"/>
        <v>110000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 t="s">
        <v>818</v>
      </c>
      <c r="B284" s="1">
        <f t="shared" si="331"/>
        <v>25</v>
      </c>
      <c r="C284" s="1">
        <f t="shared" si="332"/>
        <v>4</v>
      </c>
      <c r="D284" s="1" t="s">
        <v>289</v>
      </c>
      <c r="E284" s="1" t="s">
        <v>820</v>
      </c>
      <c r="F284" s="1" t="s">
        <v>841</v>
      </c>
      <c r="G284" s="1" t="s">
        <v>864</v>
      </c>
      <c r="H284" s="1"/>
      <c r="I284" s="25">
        <v>24500.0</v>
      </c>
      <c r="J284" s="25">
        <v>35000.0</v>
      </c>
      <c r="K284" s="5">
        <f t="shared" si="312"/>
        <v>30</v>
      </c>
      <c r="L284" s="25">
        <f t="shared" si="313"/>
        <v>10500</v>
      </c>
      <c r="M284" s="1" t="s">
        <v>591</v>
      </c>
      <c r="N284" s="25">
        <v>24500.0</v>
      </c>
      <c r="O284" s="25">
        <v>35000.0</v>
      </c>
      <c r="P284" s="25">
        <f t="shared" ref="P284:Q284" si="359">N284</f>
        <v>24500</v>
      </c>
      <c r="Q284" s="25">
        <f t="shared" si="359"/>
        <v>35000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 t="s">
        <v>818</v>
      </c>
      <c r="B285" s="1">
        <f t="shared" si="331"/>
        <v>26</v>
      </c>
      <c r="C285" s="1">
        <f t="shared" si="332"/>
        <v>4</v>
      </c>
      <c r="D285" s="1" t="s">
        <v>865</v>
      </c>
      <c r="E285" s="1" t="s">
        <v>820</v>
      </c>
      <c r="F285" s="1" t="s">
        <v>841</v>
      </c>
      <c r="G285" s="1" t="s">
        <v>864</v>
      </c>
      <c r="H285" s="33"/>
      <c r="I285" s="32">
        <v>25000.0</v>
      </c>
      <c r="J285" s="32">
        <v>35000.0</v>
      </c>
      <c r="K285" s="31">
        <f t="shared" si="312"/>
        <v>28.57142857</v>
      </c>
      <c r="L285" s="32">
        <f t="shared" si="313"/>
        <v>10000</v>
      </c>
      <c r="M285" s="1" t="s">
        <v>591</v>
      </c>
      <c r="N285" s="25">
        <f t="shared" ref="N285:O285" si="360">I285</f>
        <v>25000</v>
      </c>
      <c r="O285" s="25">
        <f t="shared" si="360"/>
        <v>35000</v>
      </c>
      <c r="P285" s="25">
        <f t="shared" ref="P285:Q285" si="361">N285</f>
        <v>25000</v>
      </c>
      <c r="Q285" s="25">
        <f t="shared" si="361"/>
        <v>35000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 t="s">
        <v>818</v>
      </c>
      <c r="B286" s="1">
        <f t="shared" si="331"/>
        <v>27</v>
      </c>
      <c r="C286" s="1">
        <f t="shared" si="332"/>
        <v>4</v>
      </c>
      <c r="D286" s="1" t="s">
        <v>866</v>
      </c>
      <c r="E286" s="1" t="s">
        <v>820</v>
      </c>
      <c r="F286" s="1" t="s">
        <v>841</v>
      </c>
      <c r="G286" s="1" t="s">
        <v>867</v>
      </c>
      <c r="H286" s="1"/>
      <c r="I286" s="25">
        <v>40000.0</v>
      </c>
      <c r="J286" s="25">
        <v>45000.0</v>
      </c>
      <c r="K286" s="5">
        <f t="shared" si="312"/>
        <v>11.11111111</v>
      </c>
      <c r="L286" s="25">
        <f t="shared" si="313"/>
        <v>5000</v>
      </c>
      <c r="M286" s="1" t="s">
        <v>451</v>
      </c>
      <c r="N286" s="25">
        <v>40000.0</v>
      </c>
      <c r="O286" s="25">
        <v>45000.0</v>
      </c>
      <c r="P286" s="25">
        <f t="shared" ref="P286:Q286" si="362">N286</f>
        <v>40000</v>
      </c>
      <c r="Q286" s="25">
        <f t="shared" si="362"/>
        <v>45000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 t="s">
        <v>818</v>
      </c>
      <c r="B287" s="1">
        <f t="shared" si="331"/>
        <v>28</v>
      </c>
      <c r="C287" s="1">
        <f t="shared" si="332"/>
        <v>4</v>
      </c>
      <c r="D287" s="1" t="s">
        <v>868</v>
      </c>
      <c r="E287" s="1" t="s">
        <v>820</v>
      </c>
      <c r="F287" s="1" t="s">
        <v>841</v>
      </c>
      <c r="G287" s="1" t="s">
        <v>869</v>
      </c>
      <c r="H287" s="1"/>
      <c r="I287" s="25">
        <v>39000.0</v>
      </c>
      <c r="J287" s="25">
        <v>50000.0</v>
      </c>
      <c r="K287" s="31">
        <f t="shared" si="312"/>
        <v>22</v>
      </c>
      <c r="L287" s="32">
        <f t="shared" si="313"/>
        <v>11000</v>
      </c>
      <c r="M287" s="1" t="s">
        <v>591</v>
      </c>
      <c r="N287" s="25">
        <f t="shared" ref="N287:O287" si="363">I287</f>
        <v>39000</v>
      </c>
      <c r="O287" s="25">
        <f t="shared" si="363"/>
        <v>50000</v>
      </c>
      <c r="P287" s="25">
        <f t="shared" ref="P287:Q287" si="364">N287</f>
        <v>39000</v>
      </c>
      <c r="Q287" s="25">
        <f t="shared" si="364"/>
        <v>50000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 t="s">
        <v>818</v>
      </c>
      <c r="B288" s="1">
        <f t="shared" si="331"/>
        <v>29</v>
      </c>
      <c r="C288" s="1">
        <f t="shared" si="332"/>
        <v>4</v>
      </c>
      <c r="D288" s="1" t="s">
        <v>180</v>
      </c>
      <c r="E288" s="1" t="s">
        <v>820</v>
      </c>
      <c r="F288" s="1" t="s">
        <v>841</v>
      </c>
      <c r="G288" s="1" t="s">
        <v>870</v>
      </c>
      <c r="H288" s="1"/>
      <c r="I288" s="25">
        <v>25000.0</v>
      </c>
      <c r="J288" s="25">
        <v>35000.0</v>
      </c>
      <c r="K288" s="5">
        <f t="shared" si="312"/>
        <v>28.57142857</v>
      </c>
      <c r="L288" s="25">
        <f t="shared" si="313"/>
        <v>10000</v>
      </c>
      <c r="M288" s="1"/>
      <c r="N288" s="25">
        <v>25000.0</v>
      </c>
      <c r="O288" s="25">
        <v>35000.0</v>
      </c>
      <c r="P288" s="25">
        <f t="shared" ref="P288:Q288" si="365">N288</f>
        <v>25000</v>
      </c>
      <c r="Q288" s="25">
        <f t="shared" si="365"/>
        <v>35000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 t="s">
        <v>818</v>
      </c>
      <c r="B289" s="1">
        <f t="shared" si="331"/>
        <v>30</v>
      </c>
      <c r="C289" s="1">
        <f t="shared" si="332"/>
        <v>4</v>
      </c>
      <c r="D289" s="1" t="s">
        <v>871</v>
      </c>
      <c r="E289" s="1" t="s">
        <v>820</v>
      </c>
      <c r="F289" s="1" t="s">
        <v>841</v>
      </c>
      <c r="G289" s="1" t="s">
        <v>872</v>
      </c>
      <c r="H289" s="33"/>
      <c r="I289" s="32">
        <v>30000.0</v>
      </c>
      <c r="J289" s="32">
        <v>35000.0</v>
      </c>
      <c r="K289" s="31">
        <f t="shared" si="312"/>
        <v>14.28571429</v>
      </c>
      <c r="L289" s="32">
        <f t="shared" si="313"/>
        <v>5000</v>
      </c>
      <c r="M289" s="1" t="s">
        <v>451</v>
      </c>
      <c r="N289" s="25">
        <f t="shared" ref="N289:O289" si="366">I289</f>
        <v>30000</v>
      </c>
      <c r="O289" s="25">
        <f t="shared" si="366"/>
        <v>35000</v>
      </c>
      <c r="P289" s="25">
        <f t="shared" ref="P289:Q289" si="367">N289</f>
        <v>30000</v>
      </c>
      <c r="Q289" s="25">
        <f t="shared" si="367"/>
        <v>35000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 t="s">
        <v>873</v>
      </c>
      <c r="B290" s="1">
        <f t="shared" si="331"/>
        <v>1</v>
      </c>
      <c r="C290" s="1">
        <f t="shared" si="332"/>
        <v>5</v>
      </c>
      <c r="D290" s="1" t="s">
        <v>874</v>
      </c>
      <c r="E290" s="1" t="s">
        <v>875</v>
      </c>
      <c r="F290" s="1" t="s">
        <v>875</v>
      </c>
      <c r="G290" s="1" t="s">
        <v>876</v>
      </c>
      <c r="H290" s="1"/>
      <c r="I290" s="25"/>
      <c r="J290" s="25">
        <v>45000.0</v>
      </c>
      <c r="K290" s="5">
        <f t="shared" si="312"/>
        <v>100</v>
      </c>
      <c r="L290" s="25">
        <f t="shared" si="313"/>
        <v>45000</v>
      </c>
      <c r="M290" s="1" t="s">
        <v>381</v>
      </c>
      <c r="N290" s="25" t="str">
        <f t="shared" ref="N290:O290" si="368">I290</f>
        <v/>
      </c>
      <c r="O290" s="25">
        <f t="shared" si="368"/>
        <v>45000</v>
      </c>
      <c r="P290" s="25" t="str">
        <f t="shared" ref="P290:Q290" si="369">N290</f>
        <v/>
      </c>
      <c r="Q290" s="25">
        <f t="shared" si="369"/>
        <v>45000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 t="s">
        <v>873</v>
      </c>
      <c r="B291" s="1">
        <f t="shared" si="331"/>
        <v>2</v>
      </c>
      <c r="C291" s="1">
        <f t="shared" si="332"/>
        <v>5</v>
      </c>
      <c r="D291" s="1" t="s">
        <v>877</v>
      </c>
      <c r="E291" s="1" t="s">
        <v>875</v>
      </c>
      <c r="F291" s="1" t="s">
        <v>875</v>
      </c>
      <c r="G291" s="1" t="s">
        <v>878</v>
      </c>
      <c r="H291" s="1"/>
      <c r="I291" s="25"/>
      <c r="J291" s="25">
        <v>20000.0</v>
      </c>
      <c r="K291" s="5">
        <f t="shared" si="312"/>
        <v>100</v>
      </c>
      <c r="L291" s="25">
        <f t="shared" si="313"/>
        <v>20000</v>
      </c>
      <c r="M291" s="1" t="s">
        <v>381</v>
      </c>
      <c r="N291" s="25" t="str">
        <f t="shared" ref="N291:O291" si="370">I291</f>
        <v/>
      </c>
      <c r="O291" s="25">
        <f t="shared" si="370"/>
        <v>20000</v>
      </c>
      <c r="P291" s="25" t="str">
        <f t="shared" ref="P291:Q291" si="371">N291</f>
        <v/>
      </c>
      <c r="Q291" s="25">
        <f t="shared" si="371"/>
        <v>20000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 t="s">
        <v>873</v>
      </c>
      <c r="B292" s="1">
        <f t="shared" si="331"/>
        <v>3</v>
      </c>
      <c r="C292" s="1">
        <f t="shared" si="332"/>
        <v>5</v>
      </c>
      <c r="D292" s="1" t="s">
        <v>879</v>
      </c>
      <c r="E292" s="1" t="s">
        <v>875</v>
      </c>
      <c r="F292" s="1" t="s">
        <v>875</v>
      </c>
      <c r="G292" s="1" t="s">
        <v>880</v>
      </c>
      <c r="H292" s="1"/>
      <c r="I292" s="25">
        <v>17000.0</v>
      </c>
      <c r="J292" s="25">
        <v>30000.0</v>
      </c>
      <c r="K292" s="5">
        <f t="shared" si="312"/>
        <v>43.33333333</v>
      </c>
      <c r="L292" s="25">
        <f t="shared" si="313"/>
        <v>13000</v>
      </c>
      <c r="M292" s="1"/>
      <c r="N292" s="25">
        <v>17000.0</v>
      </c>
      <c r="O292" s="25">
        <v>30000.0</v>
      </c>
      <c r="P292" s="25">
        <f t="shared" ref="P292:Q292" si="372">N292</f>
        <v>17000</v>
      </c>
      <c r="Q292" s="25">
        <f t="shared" si="372"/>
        <v>30000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 t="s">
        <v>873</v>
      </c>
      <c r="B293" s="1">
        <f t="shared" si="331"/>
        <v>4</v>
      </c>
      <c r="C293" s="1">
        <f t="shared" si="332"/>
        <v>5</v>
      </c>
      <c r="D293" s="1" t="s">
        <v>341</v>
      </c>
      <c r="E293" s="1" t="s">
        <v>875</v>
      </c>
      <c r="F293" s="1" t="s">
        <v>875</v>
      </c>
      <c r="G293" s="1" t="s">
        <v>881</v>
      </c>
      <c r="H293" s="1"/>
      <c r="I293" s="25">
        <v>20000.0</v>
      </c>
      <c r="J293" s="25">
        <v>25000.0</v>
      </c>
      <c r="K293" s="5">
        <f t="shared" si="312"/>
        <v>20</v>
      </c>
      <c r="L293" s="25">
        <f t="shared" si="313"/>
        <v>5000</v>
      </c>
      <c r="M293" s="1" t="s">
        <v>381</v>
      </c>
      <c r="N293" s="25">
        <v>20000.0</v>
      </c>
      <c r="O293" s="25">
        <v>25000.0</v>
      </c>
      <c r="P293" s="25">
        <f t="shared" ref="P293:Q293" si="373">N293</f>
        <v>20000</v>
      </c>
      <c r="Q293" s="25">
        <f t="shared" si="373"/>
        <v>25000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 t="s">
        <v>873</v>
      </c>
      <c r="B294" s="1">
        <f t="shared" si="331"/>
        <v>5</v>
      </c>
      <c r="C294" s="1">
        <f t="shared" si="332"/>
        <v>5</v>
      </c>
      <c r="D294" s="1" t="s">
        <v>882</v>
      </c>
      <c r="E294" s="1" t="s">
        <v>875</v>
      </c>
      <c r="F294" s="1" t="s">
        <v>875</v>
      </c>
      <c r="G294" s="1" t="s">
        <v>883</v>
      </c>
      <c r="H294" s="1"/>
      <c r="I294" s="25">
        <v>9000.0</v>
      </c>
      <c r="J294" s="25">
        <v>15000.0</v>
      </c>
      <c r="K294" s="5">
        <f t="shared" si="312"/>
        <v>40</v>
      </c>
      <c r="L294" s="25">
        <f t="shared" si="313"/>
        <v>6000</v>
      </c>
      <c r="M294" s="1"/>
      <c r="N294" s="25">
        <v>9000.0</v>
      </c>
      <c r="O294" s="25">
        <v>15000.0</v>
      </c>
      <c r="P294" s="25">
        <f t="shared" ref="P294:Q294" si="374">N294</f>
        <v>9000</v>
      </c>
      <c r="Q294" s="25">
        <f t="shared" si="374"/>
        <v>15000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 t="s">
        <v>873</v>
      </c>
      <c r="B295" s="1">
        <f t="shared" si="331"/>
        <v>6</v>
      </c>
      <c r="C295" s="1">
        <f t="shared" si="332"/>
        <v>5</v>
      </c>
      <c r="D295" s="1" t="s">
        <v>884</v>
      </c>
      <c r="E295" s="1" t="s">
        <v>875</v>
      </c>
      <c r="F295" s="1" t="s">
        <v>875</v>
      </c>
      <c r="G295" s="1" t="s">
        <v>885</v>
      </c>
      <c r="H295" s="1"/>
      <c r="I295" s="25">
        <v>150000.0</v>
      </c>
      <c r="J295" s="25">
        <v>200000.0</v>
      </c>
      <c r="K295" s="5">
        <f t="shared" si="312"/>
        <v>25</v>
      </c>
      <c r="L295" s="25">
        <f t="shared" si="313"/>
        <v>50000</v>
      </c>
      <c r="M295" s="1" t="s">
        <v>398</v>
      </c>
      <c r="N295" s="25">
        <v>150000.0</v>
      </c>
      <c r="O295" s="25">
        <v>200000.0</v>
      </c>
      <c r="P295" s="25">
        <f t="shared" ref="P295:Q295" si="375">N295</f>
        <v>150000</v>
      </c>
      <c r="Q295" s="25">
        <f t="shared" si="375"/>
        <v>200000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 t="s">
        <v>873</v>
      </c>
      <c r="B296" s="1">
        <f t="shared" si="331"/>
        <v>7</v>
      </c>
      <c r="C296" s="1">
        <f t="shared" si="332"/>
        <v>5</v>
      </c>
      <c r="D296" s="1" t="s">
        <v>886</v>
      </c>
      <c r="E296" s="1" t="s">
        <v>875</v>
      </c>
      <c r="F296" s="1" t="s">
        <v>875</v>
      </c>
      <c r="G296" s="1" t="s">
        <v>887</v>
      </c>
      <c r="H296" s="1"/>
      <c r="I296" s="25">
        <v>41667.0</v>
      </c>
      <c r="J296" s="25">
        <v>65000.0</v>
      </c>
      <c r="K296" s="5">
        <f t="shared" si="312"/>
        <v>35.89692308</v>
      </c>
      <c r="L296" s="25">
        <f t="shared" si="313"/>
        <v>23333</v>
      </c>
      <c r="M296" s="1" t="s">
        <v>398</v>
      </c>
      <c r="N296" s="25">
        <v>41667.0</v>
      </c>
      <c r="O296" s="25">
        <v>65000.0</v>
      </c>
      <c r="P296" s="25">
        <f t="shared" ref="P296:Q296" si="376">N296</f>
        <v>41667</v>
      </c>
      <c r="Q296" s="25">
        <f t="shared" si="376"/>
        <v>65000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 t="s">
        <v>873</v>
      </c>
      <c r="B297" s="1">
        <f t="shared" si="331"/>
        <v>8</v>
      </c>
      <c r="C297" s="1">
        <f t="shared" si="332"/>
        <v>5</v>
      </c>
      <c r="D297" s="1" t="s">
        <v>888</v>
      </c>
      <c r="E297" s="1" t="s">
        <v>875</v>
      </c>
      <c r="F297" s="1" t="s">
        <v>875</v>
      </c>
      <c r="G297" s="1" t="s">
        <v>889</v>
      </c>
      <c r="H297" s="1"/>
      <c r="I297" s="25">
        <v>55000.0</v>
      </c>
      <c r="J297" s="25">
        <v>60000.0</v>
      </c>
      <c r="K297" s="5">
        <f t="shared" si="312"/>
        <v>8.333333333</v>
      </c>
      <c r="L297" s="25">
        <f t="shared" si="313"/>
        <v>5000</v>
      </c>
      <c r="M297" s="1" t="s">
        <v>591</v>
      </c>
      <c r="N297" s="25">
        <v>55000.0</v>
      </c>
      <c r="O297" s="25">
        <v>60000.0</v>
      </c>
      <c r="P297" s="25">
        <f t="shared" ref="P297:Q297" si="377">N297</f>
        <v>55000</v>
      </c>
      <c r="Q297" s="25">
        <f t="shared" si="377"/>
        <v>60000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 t="s">
        <v>873</v>
      </c>
      <c r="B298" s="1">
        <f t="shared" si="331"/>
        <v>9</v>
      </c>
      <c r="C298" s="1">
        <f t="shared" si="332"/>
        <v>5</v>
      </c>
      <c r="D298" s="1" t="s">
        <v>890</v>
      </c>
      <c r="E298" s="1" t="s">
        <v>875</v>
      </c>
      <c r="F298" s="1" t="s">
        <v>875</v>
      </c>
      <c r="G298" s="1" t="s">
        <v>891</v>
      </c>
      <c r="H298" s="1"/>
      <c r="I298" s="25">
        <v>14800.0</v>
      </c>
      <c r="J298" s="25">
        <v>25000.0</v>
      </c>
      <c r="K298" s="5">
        <f t="shared" si="312"/>
        <v>40.8</v>
      </c>
      <c r="L298" s="25">
        <f t="shared" si="313"/>
        <v>10200</v>
      </c>
      <c r="M298" s="1" t="s">
        <v>451</v>
      </c>
      <c r="N298" s="25">
        <v>14800.0</v>
      </c>
      <c r="O298" s="25">
        <v>25000.0</v>
      </c>
      <c r="P298" s="25">
        <f t="shared" ref="P298:Q298" si="378">N298</f>
        <v>14800</v>
      </c>
      <c r="Q298" s="25">
        <f t="shared" si="378"/>
        <v>25000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 t="s">
        <v>873</v>
      </c>
      <c r="B299" s="1">
        <f t="shared" si="331"/>
        <v>10</v>
      </c>
      <c r="C299" s="1">
        <f t="shared" si="332"/>
        <v>5</v>
      </c>
      <c r="D299" s="1" t="s">
        <v>174</v>
      </c>
      <c r="E299" s="1" t="s">
        <v>875</v>
      </c>
      <c r="F299" s="1" t="s">
        <v>875</v>
      </c>
      <c r="G299" s="1" t="s">
        <v>892</v>
      </c>
      <c r="H299" s="1"/>
      <c r="I299" s="25">
        <v>24000.0</v>
      </c>
      <c r="J299" s="25">
        <v>30000.0</v>
      </c>
      <c r="K299" s="5">
        <f t="shared" si="312"/>
        <v>20</v>
      </c>
      <c r="L299" s="25">
        <f t="shared" si="313"/>
        <v>6000</v>
      </c>
      <c r="M299" s="1" t="s">
        <v>451</v>
      </c>
      <c r="N299" s="25">
        <v>24000.0</v>
      </c>
      <c r="O299" s="25">
        <v>30000.0</v>
      </c>
      <c r="P299" s="25">
        <f t="shared" ref="P299:Q299" si="379">N299</f>
        <v>24000</v>
      </c>
      <c r="Q299" s="25">
        <f t="shared" si="379"/>
        <v>30000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 t="s">
        <v>873</v>
      </c>
      <c r="B300" s="1">
        <f t="shared" si="331"/>
        <v>11</v>
      </c>
      <c r="C300" s="1">
        <f t="shared" si="332"/>
        <v>5</v>
      </c>
      <c r="D300" s="1" t="s">
        <v>51</v>
      </c>
      <c r="E300" s="1" t="s">
        <v>875</v>
      </c>
      <c r="F300" s="1" t="s">
        <v>875</v>
      </c>
      <c r="G300" s="1" t="s">
        <v>893</v>
      </c>
      <c r="H300" s="1"/>
      <c r="I300" s="25">
        <v>74000.0</v>
      </c>
      <c r="J300" s="25">
        <v>95000.0</v>
      </c>
      <c r="K300" s="5">
        <f t="shared" si="312"/>
        <v>22.10526316</v>
      </c>
      <c r="L300" s="25">
        <f t="shared" si="313"/>
        <v>21000</v>
      </c>
      <c r="M300" s="1" t="s">
        <v>451</v>
      </c>
      <c r="N300" s="25">
        <v>74000.0</v>
      </c>
      <c r="O300" s="25">
        <v>95000.0</v>
      </c>
      <c r="P300" s="25">
        <f t="shared" ref="P300:Q300" si="380">N300</f>
        <v>74000</v>
      </c>
      <c r="Q300" s="25">
        <f t="shared" si="380"/>
        <v>95000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 t="s">
        <v>873</v>
      </c>
      <c r="B301" s="1">
        <f t="shared" si="331"/>
        <v>12</v>
      </c>
      <c r="C301" s="1">
        <f t="shared" si="332"/>
        <v>5</v>
      </c>
      <c r="D301" s="1" t="s">
        <v>112</v>
      </c>
      <c r="E301" s="1" t="s">
        <v>875</v>
      </c>
      <c r="F301" s="1" t="s">
        <v>875</v>
      </c>
      <c r="G301" s="1" t="s">
        <v>894</v>
      </c>
      <c r="H301" s="1"/>
      <c r="I301" s="25">
        <v>14800.0</v>
      </c>
      <c r="J301" s="25">
        <v>25000.0</v>
      </c>
      <c r="K301" s="5">
        <f t="shared" si="312"/>
        <v>40.8</v>
      </c>
      <c r="L301" s="25">
        <f t="shared" si="313"/>
        <v>10200</v>
      </c>
      <c r="M301" s="1" t="s">
        <v>451</v>
      </c>
      <c r="N301" s="25">
        <v>14800.0</v>
      </c>
      <c r="O301" s="25">
        <v>25000.0</v>
      </c>
      <c r="P301" s="25">
        <f t="shared" ref="P301:Q301" si="381">N301</f>
        <v>14800</v>
      </c>
      <c r="Q301" s="25">
        <f t="shared" si="381"/>
        <v>25000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 t="s">
        <v>873</v>
      </c>
      <c r="B302" s="1">
        <f t="shared" si="331"/>
        <v>13</v>
      </c>
      <c r="C302" s="1">
        <f t="shared" si="332"/>
        <v>5</v>
      </c>
      <c r="D302" s="1" t="s">
        <v>109</v>
      </c>
      <c r="E302" s="1" t="s">
        <v>875</v>
      </c>
      <c r="F302" s="1" t="s">
        <v>875</v>
      </c>
      <c r="G302" s="1" t="s">
        <v>895</v>
      </c>
      <c r="H302" s="1"/>
      <c r="I302" s="25">
        <v>24000.0</v>
      </c>
      <c r="J302" s="25">
        <v>30000.0</v>
      </c>
      <c r="K302" s="5">
        <f t="shared" si="312"/>
        <v>20</v>
      </c>
      <c r="L302" s="25">
        <f t="shared" si="313"/>
        <v>6000</v>
      </c>
      <c r="M302" s="1" t="s">
        <v>451</v>
      </c>
      <c r="N302" s="25">
        <v>24000.0</v>
      </c>
      <c r="O302" s="25">
        <v>30000.0</v>
      </c>
      <c r="P302" s="25">
        <f t="shared" ref="P302:Q302" si="382">N302</f>
        <v>24000</v>
      </c>
      <c r="Q302" s="25">
        <f t="shared" si="382"/>
        <v>30000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 t="s">
        <v>873</v>
      </c>
      <c r="B303" s="1">
        <f t="shared" si="331"/>
        <v>14</v>
      </c>
      <c r="C303" s="1">
        <f t="shared" si="332"/>
        <v>5</v>
      </c>
      <c r="D303" s="1" t="s">
        <v>896</v>
      </c>
      <c r="E303" s="1" t="s">
        <v>875</v>
      </c>
      <c r="F303" s="1" t="s">
        <v>875</v>
      </c>
      <c r="G303" s="1" t="s">
        <v>897</v>
      </c>
      <c r="H303" s="1"/>
      <c r="I303" s="25">
        <v>74000.0</v>
      </c>
      <c r="J303" s="25">
        <v>95000.0</v>
      </c>
      <c r="K303" s="5">
        <f t="shared" si="312"/>
        <v>22.10526316</v>
      </c>
      <c r="L303" s="25">
        <f t="shared" si="313"/>
        <v>21000</v>
      </c>
      <c r="M303" s="1" t="s">
        <v>451</v>
      </c>
      <c r="N303" s="25">
        <v>74000.0</v>
      </c>
      <c r="O303" s="25">
        <v>95000.0</v>
      </c>
      <c r="P303" s="25">
        <f t="shared" ref="P303:Q303" si="383">N303</f>
        <v>74000</v>
      </c>
      <c r="Q303" s="25">
        <f t="shared" si="383"/>
        <v>95000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 t="s">
        <v>873</v>
      </c>
      <c r="B304" s="1">
        <f t="shared" si="331"/>
        <v>15</v>
      </c>
      <c r="C304" s="1">
        <f t="shared" si="332"/>
        <v>5</v>
      </c>
      <c r="D304" s="1" t="s">
        <v>898</v>
      </c>
      <c r="E304" s="1" t="s">
        <v>875</v>
      </c>
      <c r="F304" s="1" t="s">
        <v>875</v>
      </c>
      <c r="G304" s="1" t="s">
        <v>899</v>
      </c>
      <c r="H304" s="1"/>
      <c r="I304" s="25">
        <v>24000.0</v>
      </c>
      <c r="J304" s="25">
        <v>30000.0</v>
      </c>
      <c r="K304" s="5">
        <f t="shared" si="312"/>
        <v>20</v>
      </c>
      <c r="L304" s="25">
        <f t="shared" si="313"/>
        <v>6000</v>
      </c>
      <c r="M304" s="1" t="s">
        <v>451</v>
      </c>
      <c r="N304" s="25">
        <v>24000.0</v>
      </c>
      <c r="O304" s="25">
        <v>30000.0</v>
      </c>
      <c r="P304" s="25">
        <f t="shared" ref="P304:Q304" si="384">N304</f>
        <v>24000</v>
      </c>
      <c r="Q304" s="25">
        <f t="shared" si="384"/>
        <v>30000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 t="s">
        <v>873</v>
      </c>
      <c r="B305" s="1">
        <f t="shared" si="331"/>
        <v>16</v>
      </c>
      <c r="C305" s="1">
        <f t="shared" si="332"/>
        <v>5</v>
      </c>
      <c r="D305" s="1" t="s">
        <v>208</v>
      </c>
      <c r="E305" s="1" t="s">
        <v>875</v>
      </c>
      <c r="F305" s="1" t="s">
        <v>875</v>
      </c>
      <c r="G305" s="1" t="s">
        <v>900</v>
      </c>
      <c r="H305" s="1"/>
      <c r="I305" s="25">
        <v>24000.0</v>
      </c>
      <c r="J305" s="25">
        <v>29000.0</v>
      </c>
      <c r="K305" s="5">
        <f t="shared" si="312"/>
        <v>17.24137931</v>
      </c>
      <c r="L305" s="25">
        <f t="shared" si="313"/>
        <v>5000</v>
      </c>
      <c r="M305" s="1" t="s">
        <v>451</v>
      </c>
      <c r="N305" s="25">
        <v>24000.0</v>
      </c>
      <c r="O305" s="25">
        <v>29000.0</v>
      </c>
      <c r="P305" s="25">
        <f t="shared" ref="P305:Q305" si="385">N305</f>
        <v>24000</v>
      </c>
      <c r="Q305" s="25">
        <f t="shared" si="385"/>
        <v>29000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 t="s">
        <v>873</v>
      </c>
      <c r="B306" s="1">
        <f t="shared" si="331"/>
        <v>17</v>
      </c>
      <c r="C306" s="1">
        <f t="shared" si="332"/>
        <v>5</v>
      </c>
      <c r="D306" s="1" t="s">
        <v>284</v>
      </c>
      <c r="E306" s="1" t="s">
        <v>875</v>
      </c>
      <c r="F306" s="1" t="s">
        <v>875</v>
      </c>
      <c r="G306" s="1" t="s">
        <v>901</v>
      </c>
      <c r="H306" s="1"/>
      <c r="I306" s="25">
        <v>11000.0</v>
      </c>
      <c r="J306" s="25">
        <v>15000.0</v>
      </c>
      <c r="K306" s="5">
        <f t="shared" si="312"/>
        <v>26.66666667</v>
      </c>
      <c r="L306" s="25">
        <f t="shared" si="313"/>
        <v>4000</v>
      </c>
      <c r="M306" s="1" t="s">
        <v>451</v>
      </c>
      <c r="N306" s="25">
        <v>11000.0</v>
      </c>
      <c r="O306" s="25">
        <v>15000.0</v>
      </c>
      <c r="P306" s="25">
        <f t="shared" ref="P306:Q306" si="386">N306</f>
        <v>11000</v>
      </c>
      <c r="Q306" s="25">
        <f t="shared" si="386"/>
        <v>15000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 t="s">
        <v>873</v>
      </c>
      <c r="B307" s="1">
        <f t="shared" si="331"/>
        <v>18</v>
      </c>
      <c r="C307" s="1">
        <f t="shared" si="332"/>
        <v>5</v>
      </c>
      <c r="D307" s="1" t="s">
        <v>902</v>
      </c>
      <c r="E307" s="1" t="s">
        <v>875</v>
      </c>
      <c r="F307" s="1" t="s">
        <v>875</v>
      </c>
      <c r="G307" s="1" t="s">
        <v>903</v>
      </c>
      <c r="H307" s="1"/>
      <c r="I307" s="25">
        <v>42500.0</v>
      </c>
      <c r="J307" s="25">
        <v>50000.0</v>
      </c>
      <c r="K307" s="31">
        <f t="shared" si="312"/>
        <v>15</v>
      </c>
      <c r="L307" s="32">
        <f t="shared" si="313"/>
        <v>7500</v>
      </c>
      <c r="M307" s="1" t="s">
        <v>591</v>
      </c>
      <c r="N307" s="25">
        <f t="shared" ref="N307:O307" si="387">I307</f>
        <v>42500</v>
      </c>
      <c r="O307" s="25">
        <f t="shared" si="387"/>
        <v>50000</v>
      </c>
      <c r="P307" s="25">
        <f t="shared" ref="P307:Q307" si="388">N307</f>
        <v>42500</v>
      </c>
      <c r="Q307" s="25">
        <f t="shared" si="388"/>
        <v>50000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 t="s">
        <v>873</v>
      </c>
      <c r="B308" s="1">
        <f t="shared" si="331"/>
        <v>19</v>
      </c>
      <c r="C308" s="1">
        <f t="shared" si="332"/>
        <v>5</v>
      </c>
      <c r="D308" s="1" t="s">
        <v>904</v>
      </c>
      <c r="E308" s="1" t="s">
        <v>875</v>
      </c>
      <c r="F308" s="1" t="s">
        <v>875</v>
      </c>
      <c r="G308" s="1" t="s">
        <v>905</v>
      </c>
      <c r="H308" s="1"/>
      <c r="I308" s="25">
        <v>11000.0</v>
      </c>
      <c r="J308" s="25">
        <v>15000.0</v>
      </c>
      <c r="K308" s="5">
        <f t="shared" si="312"/>
        <v>26.66666667</v>
      </c>
      <c r="L308" s="25">
        <f t="shared" si="313"/>
        <v>4000</v>
      </c>
      <c r="M308" s="1"/>
      <c r="N308" s="25">
        <v>11000.0</v>
      </c>
      <c r="O308" s="25">
        <v>15000.0</v>
      </c>
      <c r="P308" s="25">
        <f t="shared" ref="P308:Q308" si="389">N308</f>
        <v>11000</v>
      </c>
      <c r="Q308" s="25">
        <f t="shared" si="389"/>
        <v>15000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 t="s">
        <v>873</v>
      </c>
      <c r="B309" s="1">
        <f t="shared" si="331"/>
        <v>20</v>
      </c>
      <c r="C309" s="1">
        <f t="shared" si="332"/>
        <v>5</v>
      </c>
      <c r="D309" s="1" t="s">
        <v>906</v>
      </c>
      <c r="E309" s="1" t="s">
        <v>875</v>
      </c>
      <c r="F309" s="1" t="s">
        <v>875</v>
      </c>
      <c r="G309" s="1" t="s">
        <v>907</v>
      </c>
      <c r="H309" s="1"/>
      <c r="I309" s="25">
        <v>45000.0</v>
      </c>
      <c r="J309" s="25">
        <v>49000.0</v>
      </c>
      <c r="K309" s="5">
        <f t="shared" si="312"/>
        <v>8.163265306</v>
      </c>
      <c r="L309" s="25">
        <f t="shared" si="313"/>
        <v>4000</v>
      </c>
      <c r="M309" s="1"/>
      <c r="N309" s="25">
        <v>45000.0</v>
      </c>
      <c r="O309" s="25">
        <v>55000.0</v>
      </c>
      <c r="P309" s="25">
        <f t="shared" ref="P309:Q309" si="390">N309</f>
        <v>45000</v>
      </c>
      <c r="Q309" s="25">
        <f t="shared" si="390"/>
        <v>55000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 t="s">
        <v>873</v>
      </c>
      <c r="B310" s="1">
        <f t="shared" si="331"/>
        <v>21</v>
      </c>
      <c r="C310" s="1">
        <f t="shared" si="332"/>
        <v>5</v>
      </c>
      <c r="D310" s="1" t="s">
        <v>908</v>
      </c>
      <c r="E310" s="1" t="s">
        <v>875</v>
      </c>
      <c r="F310" s="1" t="s">
        <v>875</v>
      </c>
      <c r="G310" s="1" t="s">
        <v>909</v>
      </c>
      <c r="H310" s="1"/>
      <c r="I310" s="25">
        <v>25000.0</v>
      </c>
      <c r="J310" s="25">
        <v>35000.0</v>
      </c>
      <c r="K310" s="5">
        <f t="shared" si="312"/>
        <v>28.57142857</v>
      </c>
      <c r="L310" s="25">
        <f t="shared" si="313"/>
        <v>10000</v>
      </c>
      <c r="M310" s="1"/>
      <c r="N310" s="25">
        <v>25000.0</v>
      </c>
      <c r="O310" s="25">
        <v>35000.0</v>
      </c>
      <c r="P310" s="25">
        <f t="shared" ref="P310:Q310" si="391">N310</f>
        <v>25000</v>
      </c>
      <c r="Q310" s="25">
        <f t="shared" si="391"/>
        <v>35000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 t="s">
        <v>873</v>
      </c>
      <c r="B311" s="1">
        <f t="shared" si="331"/>
        <v>22</v>
      </c>
      <c r="C311" s="1">
        <f t="shared" si="332"/>
        <v>5</v>
      </c>
      <c r="D311" s="1" t="s">
        <v>259</v>
      </c>
      <c r="E311" s="1" t="s">
        <v>875</v>
      </c>
      <c r="F311" s="1" t="s">
        <v>875</v>
      </c>
      <c r="G311" s="1" t="s">
        <v>910</v>
      </c>
      <c r="H311" s="1"/>
      <c r="I311" s="25">
        <v>7000.0</v>
      </c>
      <c r="J311" s="25">
        <v>15000.0</v>
      </c>
      <c r="K311" s="5">
        <f t="shared" si="312"/>
        <v>53.33333333</v>
      </c>
      <c r="L311" s="25">
        <f t="shared" si="313"/>
        <v>8000</v>
      </c>
      <c r="M311" s="1" t="s">
        <v>381</v>
      </c>
      <c r="N311" s="25">
        <v>7000.0</v>
      </c>
      <c r="O311" s="25">
        <v>15000.0</v>
      </c>
      <c r="P311" s="25">
        <f t="shared" ref="P311:P364" si="392">N311</f>
        <v>7000</v>
      </c>
      <c r="Q311" s="1">
        <v>7000.0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 t="s">
        <v>873</v>
      </c>
      <c r="B312" s="1">
        <f t="shared" si="331"/>
        <v>23</v>
      </c>
      <c r="C312" s="1">
        <f t="shared" si="332"/>
        <v>5</v>
      </c>
      <c r="D312" s="1" t="s">
        <v>911</v>
      </c>
      <c r="E312" s="1" t="s">
        <v>875</v>
      </c>
      <c r="F312" s="1" t="s">
        <v>875</v>
      </c>
      <c r="G312" s="1" t="s">
        <v>912</v>
      </c>
      <c r="H312" s="1"/>
      <c r="I312" s="25">
        <f>74000/2</f>
        <v>37000</v>
      </c>
      <c r="J312" s="25">
        <v>42000.0</v>
      </c>
      <c r="K312" s="5">
        <f t="shared" si="312"/>
        <v>11.9047619</v>
      </c>
      <c r="L312" s="25">
        <f t="shared" si="313"/>
        <v>5000</v>
      </c>
      <c r="M312" s="1"/>
      <c r="N312" s="25">
        <v>37000.0</v>
      </c>
      <c r="O312" s="25">
        <v>42000.0</v>
      </c>
      <c r="P312" s="25">
        <f t="shared" si="392"/>
        <v>37000</v>
      </c>
      <c r="Q312" s="25">
        <f t="shared" ref="Q312:Q364" si="393">O312</f>
        <v>42000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 t="s">
        <v>873</v>
      </c>
      <c r="B313" s="1">
        <f t="shared" si="331"/>
        <v>24</v>
      </c>
      <c r="C313" s="1">
        <f t="shared" si="332"/>
        <v>5</v>
      </c>
      <c r="D313" s="1" t="s">
        <v>913</v>
      </c>
      <c r="E313" s="1" t="s">
        <v>875</v>
      </c>
      <c r="F313" s="1" t="s">
        <v>875</v>
      </c>
      <c r="G313" s="1" t="s">
        <v>914</v>
      </c>
      <c r="H313" s="1"/>
      <c r="I313" s="25">
        <v>74000.0</v>
      </c>
      <c r="J313" s="25">
        <v>84000.0</v>
      </c>
      <c r="K313" s="5">
        <f t="shared" si="312"/>
        <v>11.9047619</v>
      </c>
      <c r="L313" s="25">
        <f t="shared" si="313"/>
        <v>10000</v>
      </c>
      <c r="M313" s="1"/>
      <c r="N313" s="25">
        <v>74000.0</v>
      </c>
      <c r="O313" s="25">
        <v>84000.0</v>
      </c>
      <c r="P313" s="25">
        <f t="shared" si="392"/>
        <v>74000</v>
      </c>
      <c r="Q313" s="25">
        <f t="shared" si="393"/>
        <v>84000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 t="s">
        <v>873</v>
      </c>
      <c r="B314" s="1">
        <f t="shared" si="331"/>
        <v>25</v>
      </c>
      <c r="C314" s="1">
        <f t="shared" si="332"/>
        <v>5</v>
      </c>
      <c r="D314" s="1" t="s">
        <v>915</v>
      </c>
      <c r="E314" s="1" t="s">
        <v>875</v>
      </c>
      <c r="F314" s="1" t="s">
        <v>875</v>
      </c>
      <c r="G314" s="1" t="s">
        <v>916</v>
      </c>
      <c r="H314" s="1"/>
      <c r="I314" s="25">
        <v>18000.0</v>
      </c>
      <c r="J314" s="25">
        <v>25000.0</v>
      </c>
      <c r="K314" s="5">
        <f t="shared" si="312"/>
        <v>28</v>
      </c>
      <c r="L314" s="25">
        <f t="shared" si="313"/>
        <v>7000</v>
      </c>
      <c r="M314" s="1"/>
      <c r="N314" s="25">
        <v>18000.0</v>
      </c>
      <c r="O314" s="25">
        <v>25000.0</v>
      </c>
      <c r="P314" s="25">
        <f t="shared" si="392"/>
        <v>18000</v>
      </c>
      <c r="Q314" s="25">
        <f t="shared" si="393"/>
        <v>25000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 t="s">
        <v>873</v>
      </c>
      <c r="B315" s="1">
        <f t="shared" si="331"/>
        <v>26</v>
      </c>
      <c r="C315" s="1">
        <f t="shared" si="332"/>
        <v>5</v>
      </c>
      <c r="D315" s="1" t="s">
        <v>193</v>
      </c>
      <c r="E315" s="1" t="s">
        <v>875</v>
      </c>
      <c r="F315" s="1" t="s">
        <v>875</v>
      </c>
      <c r="G315" s="1" t="s">
        <v>917</v>
      </c>
      <c r="H315" s="1"/>
      <c r="I315" s="25">
        <v>51000.0</v>
      </c>
      <c r="J315" s="25">
        <v>60000.0</v>
      </c>
      <c r="K315" s="5">
        <f t="shared" si="312"/>
        <v>15</v>
      </c>
      <c r="L315" s="25">
        <f t="shared" si="313"/>
        <v>9000</v>
      </c>
      <c r="M315" s="1"/>
      <c r="N315" s="25">
        <v>51000.0</v>
      </c>
      <c r="O315" s="25">
        <v>60000.0</v>
      </c>
      <c r="P315" s="25">
        <f t="shared" si="392"/>
        <v>51000</v>
      </c>
      <c r="Q315" s="25">
        <f t="shared" si="393"/>
        <v>60000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 t="s">
        <v>873</v>
      </c>
      <c r="B316" s="1">
        <f t="shared" si="331"/>
        <v>27</v>
      </c>
      <c r="C316" s="1">
        <f t="shared" si="332"/>
        <v>5</v>
      </c>
      <c r="D316" s="1" t="s">
        <v>918</v>
      </c>
      <c r="E316" s="1" t="s">
        <v>875</v>
      </c>
      <c r="F316" s="1" t="s">
        <v>875</v>
      </c>
      <c r="G316" s="1" t="s">
        <v>919</v>
      </c>
      <c r="H316" s="1"/>
      <c r="I316" s="25"/>
      <c r="J316" s="25">
        <v>20000.0</v>
      </c>
      <c r="K316" s="5">
        <f t="shared" si="312"/>
        <v>100</v>
      </c>
      <c r="L316" s="25">
        <f t="shared" si="313"/>
        <v>20000</v>
      </c>
      <c r="M316" s="1" t="s">
        <v>451</v>
      </c>
      <c r="N316" s="25" t="str">
        <f t="shared" ref="N316:O316" si="394">I316</f>
        <v/>
      </c>
      <c r="O316" s="25">
        <f t="shared" si="394"/>
        <v>20000</v>
      </c>
      <c r="P316" s="25" t="str">
        <f t="shared" si="392"/>
        <v/>
      </c>
      <c r="Q316" s="25">
        <f t="shared" si="393"/>
        <v>20000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 t="s">
        <v>873</v>
      </c>
      <c r="B317" s="1">
        <f t="shared" si="331"/>
        <v>28</v>
      </c>
      <c r="C317" s="1">
        <f t="shared" si="332"/>
        <v>5</v>
      </c>
      <c r="D317" s="1" t="s">
        <v>241</v>
      </c>
      <c r="E317" s="1" t="s">
        <v>875</v>
      </c>
      <c r="F317" s="1" t="s">
        <v>875</v>
      </c>
      <c r="G317" s="1" t="s">
        <v>920</v>
      </c>
      <c r="H317" s="1"/>
      <c r="I317" s="25">
        <v>30000.0</v>
      </c>
      <c r="J317" s="25">
        <v>35000.0</v>
      </c>
      <c r="K317" s="5">
        <f t="shared" si="312"/>
        <v>14.28571429</v>
      </c>
      <c r="L317" s="25">
        <f t="shared" si="313"/>
        <v>5000</v>
      </c>
      <c r="M317" s="1" t="s">
        <v>451</v>
      </c>
      <c r="N317" s="25">
        <v>30000.0</v>
      </c>
      <c r="O317" s="25">
        <v>35000.0</v>
      </c>
      <c r="P317" s="25">
        <f t="shared" si="392"/>
        <v>30000</v>
      </c>
      <c r="Q317" s="25">
        <f t="shared" si="393"/>
        <v>35000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 t="s">
        <v>873</v>
      </c>
      <c r="B318" s="1">
        <f t="shared" si="331"/>
        <v>29</v>
      </c>
      <c r="C318" s="1">
        <f t="shared" si="332"/>
        <v>5</v>
      </c>
      <c r="D318" s="1" t="s">
        <v>921</v>
      </c>
      <c r="E318" s="1" t="s">
        <v>875</v>
      </c>
      <c r="F318" s="1" t="s">
        <v>875</v>
      </c>
      <c r="G318" s="1" t="s">
        <v>922</v>
      </c>
      <c r="H318" s="1"/>
      <c r="I318" s="25">
        <v>25000.0</v>
      </c>
      <c r="J318" s="25">
        <v>35000.0</v>
      </c>
      <c r="K318" s="5">
        <f t="shared" si="312"/>
        <v>28.57142857</v>
      </c>
      <c r="L318" s="25">
        <f t="shared" si="313"/>
        <v>10000</v>
      </c>
      <c r="M318" s="1" t="s">
        <v>451</v>
      </c>
      <c r="N318" s="25">
        <f t="shared" ref="N318:O318" si="395">I318</f>
        <v>25000</v>
      </c>
      <c r="O318" s="25">
        <f t="shared" si="395"/>
        <v>35000</v>
      </c>
      <c r="P318" s="25">
        <f t="shared" si="392"/>
        <v>25000</v>
      </c>
      <c r="Q318" s="25">
        <f t="shared" si="393"/>
        <v>35000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 t="s">
        <v>873</v>
      </c>
      <c r="B319" s="1">
        <f t="shared" si="331"/>
        <v>30</v>
      </c>
      <c r="C319" s="1">
        <f t="shared" si="332"/>
        <v>5</v>
      </c>
      <c r="D319" s="1" t="s">
        <v>923</v>
      </c>
      <c r="E319" s="1" t="s">
        <v>875</v>
      </c>
      <c r="F319" s="1" t="s">
        <v>875</v>
      </c>
      <c r="G319" s="1" t="s">
        <v>924</v>
      </c>
      <c r="H319" s="1"/>
      <c r="I319" s="25">
        <v>15000.0</v>
      </c>
      <c r="J319" s="25">
        <v>25000.0</v>
      </c>
      <c r="K319" s="5">
        <f t="shared" si="312"/>
        <v>40</v>
      </c>
      <c r="L319" s="25">
        <f t="shared" si="313"/>
        <v>10000</v>
      </c>
      <c r="M319" s="1" t="s">
        <v>451</v>
      </c>
      <c r="N319" s="25">
        <f t="shared" ref="N319:O319" si="396">I319</f>
        <v>15000</v>
      </c>
      <c r="O319" s="25">
        <f t="shared" si="396"/>
        <v>25000</v>
      </c>
      <c r="P319" s="25">
        <f t="shared" si="392"/>
        <v>15000</v>
      </c>
      <c r="Q319" s="25">
        <f t="shared" si="393"/>
        <v>25000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 t="s">
        <v>873</v>
      </c>
      <c r="B320" s="1">
        <f t="shared" si="331"/>
        <v>31</v>
      </c>
      <c r="C320" s="1">
        <f t="shared" si="332"/>
        <v>5</v>
      </c>
      <c r="D320" s="1" t="s">
        <v>925</v>
      </c>
      <c r="E320" s="1" t="s">
        <v>875</v>
      </c>
      <c r="F320" s="1" t="s">
        <v>875</v>
      </c>
      <c r="G320" s="1" t="s">
        <v>926</v>
      </c>
      <c r="H320" s="1"/>
      <c r="I320" s="25">
        <v>42500.0</v>
      </c>
      <c r="J320" s="25">
        <v>50000.0</v>
      </c>
      <c r="K320" s="5">
        <f t="shared" si="312"/>
        <v>15</v>
      </c>
      <c r="L320" s="25">
        <f t="shared" si="313"/>
        <v>7500</v>
      </c>
      <c r="M320" s="1" t="s">
        <v>381</v>
      </c>
      <c r="N320" s="25">
        <f t="shared" ref="N320:O320" si="397">I320</f>
        <v>42500</v>
      </c>
      <c r="O320" s="25">
        <f t="shared" si="397"/>
        <v>50000</v>
      </c>
      <c r="P320" s="25">
        <f t="shared" si="392"/>
        <v>42500</v>
      </c>
      <c r="Q320" s="25">
        <f t="shared" si="393"/>
        <v>50000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 t="s">
        <v>873</v>
      </c>
      <c r="B321" s="1">
        <f t="shared" si="331"/>
        <v>32</v>
      </c>
      <c r="C321" s="1">
        <f t="shared" si="332"/>
        <v>5</v>
      </c>
      <c r="D321" s="1" t="s">
        <v>248</v>
      </c>
      <c r="E321" s="1" t="s">
        <v>875</v>
      </c>
      <c r="F321" s="1" t="s">
        <v>875</v>
      </c>
      <c r="G321" s="1" t="s">
        <v>927</v>
      </c>
      <c r="H321" s="1"/>
      <c r="I321" s="25"/>
      <c r="J321" s="25">
        <v>35000.0</v>
      </c>
      <c r="K321" s="5">
        <f t="shared" si="312"/>
        <v>100</v>
      </c>
      <c r="L321" s="25">
        <f t="shared" si="313"/>
        <v>35000</v>
      </c>
      <c r="M321" s="1" t="s">
        <v>381</v>
      </c>
      <c r="N321" s="25" t="str">
        <f t="shared" ref="N321:O321" si="398">I321</f>
        <v/>
      </c>
      <c r="O321" s="25">
        <f t="shared" si="398"/>
        <v>35000</v>
      </c>
      <c r="P321" s="25" t="str">
        <f t="shared" si="392"/>
        <v/>
      </c>
      <c r="Q321" s="25">
        <f t="shared" si="393"/>
        <v>35000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 t="s">
        <v>873</v>
      </c>
      <c r="B322" s="1">
        <f t="shared" si="331"/>
        <v>33</v>
      </c>
      <c r="C322" s="1">
        <f t="shared" si="332"/>
        <v>5</v>
      </c>
      <c r="D322" s="1" t="s">
        <v>928</v>
      </c>
      <c r="E322" s="1" t="s">
        <v>875</v>
      </c>
      <c r="F322" s="1" t="s">
        <v>875</v>
      </c>
      <c r="G322" s="1" t="s">
        <v>929</v>
      </c>
      <c r="H322" s="1"/>
      <c r="I322" s="25">
        <v>30000.0</v>
      </c>
      <c r="J322" s="25">
        <v>50000.0</v>
      </c>
      <c r="K322" s="5">
        <f t="shared" si="312"/>
        <v>40</v>
      </c>
      <c r="L322" s="25">
        <f t="shared" si="313"/>
        <v>20000</v>
      </c>
      <c r="M322" s="1" t="s">
        <v>381</v>
      </c>
      <c r="N322" s="25">
        <v>30000.0</v>
      </c>
      <c r="O322" s="25">
        <v>50000.0</v>
      </c>
      <c r="P322" s="25">
        <f t="shared" si="392"/>
        <v>30000</v>
      </c>
      <c r="Q322" s="25">
        <f t="shared" si="393"/>
        <v>50000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 t="s">
        <v>873</v>
      </c>
      <c r="B323" s="1">
        <f t="shared" si="331"/>
        <v>34</v>
      </c>
      <c r="C323" s="1">
        <f t="shared" si="332"/>
        <v>5</v>
      </c>
      <c r="D323" s="1" t="s">
        <v>930</v>
      </c>
      <c r="E323" s="1" t="s">
        <v>875</v>
      </c>
      <c r="F323" s="1" t="s">
        <v>875</v>
      </c>
      <c r="G323" s="1" t="s">
        <v>931</v>
      </c>
      <c r="H323" s="1"/>
      <c r="I323" s="25">
        <v>20000.0</v>
      </c>
      <c r="J323" s="25">
        <v>35000.0</v>
      </c>
      <c r="K323" s="5">
        <f t="shared" si="312"/>
        <v>42.85714286</v>
      </c>
      <c r="L323" s="25">
        <f t="shared" si="313"/>
        <v>15000</v>
      </c>
      <c r="M323" s="1" t="s">
        <v>381</v>
      </c>
      <c r="N323" s="25">
        <v>20000.0</v>
      </c>
      <c r="O323" s="25">
        <v>35000.0</v>
      </c>
      <c r="P323" s="25">
        <f t="shared" si="392"/>
        <v>20000</v>
      </c>
      <c r="Q323" s="25">
        <f t="shared" si="393"/>
        <v>35000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 t="s">
        <v>873</v>
      </c>
      <c r="B324" s="1">
        <f t="shared" si="331"/>
        <v>35</v>
      </c>
      <c r="C324" s="1">
        <f t="shared" si="332"/>
        <v>5</v>
      </c>
      <c r="D324" s="1" t="s">
        <v>932</v>
      </c>
      <c r="E324" s="1" t="s">
        <v>875</v>
      </c>
      <c r="F324" s="1" t="s">
        <v>875</v>
      </c>
      <c r="G324" s="1" t="s">
        <v>933</v>
      </c>
      <c r="H324" s="1"/>
      <c r="I324" s="25">
        <f>(90000/5)+3000</f>
        <v>21000</v>
      </c>
      <c r="J324" s="25">
        <v>25000.0</v>
      </c>
      <c r="K324" s="5">
        <f t="shared" si="312"/>
        <v>16</v>
      </c>
      <c r="L324" s="25">
        <f t="shared" si="313"/>
        <v>4000</v>
      </c>
      <c r="M324" s="1" t="s">
        <v>591</v>
      </c>
      <c r="N324" s="25">
        <f t="shared" ref="N324:O324" si="399">I324</f>
        <v>21000</v>
      </c>
      <c r="O324" s="25">
        <f t="shared" si="399"/>
        <v>25000</v>
      </c>
      <c r="P324" s="25">
        <f t="shared" si="392"/>
        <v>21000</v>
      </c>
      <c r="Q324" s="25">
        <f t="shared" si="393"/>
        <v>25000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 t="s">
        <v>873</v>
      </c>
      <c r="B325" s="1">
        <f t="shared" si="331"/>
        <v>36</v>
      </c>
      <c r="C325" s="1">
        <f t="shared" si="332"/>
        <v>5</v>
      </c>
      <c r="D325" s="1" t="s">
        <v>934</v>
      </c>
      <c r="E325" s="1" t="s">
        <v>875</v>
      </c>
      <c r="F325" s="1" t="s">
        <v>875</v>
      </c>
      <c r="G325" s="1" t="s">
        <v>935</v>
      </c>
      <c r="H325" s="1"/>
      <c r="I325" s="25">
        <v>90000.0</v>
      </c>
      <c r="J325" s="25">
        <v>97000.0</v>
      </c>
      <c r="K325" s="5">
        <f t="shared" si="312"/>
        <v>7.216494845</v>
      </c>
      <c r="L325" s="25">
        <f t="shared" si="313"/>
        <v>7000</v>
      </c>
      <c r="M325" s="1" t="s">
        <v>591</v>
      </c>
      <c r="N325" s="25">
        <f t="shared" ref="N325:O325" si="400">I325</f>
        <v>90000</v>
      </c>
      <c r="O325" s="25">
        <f t="shared" si="400"/>
        <v>97000</v>
      </c>
      <c r="P325" s="25">
        <f t="shared" si="392"/>
        <v>90000</v>
      </c>
      <c r="Q325" s="25">
        <f t="shared" si="393"/>
        <v>97000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 t="s">
        <v>873</v>
      </c>
      <c r="B326" s="1">
        <f t="shared" si="331"/>
        <v>37</v>
      </c>
      <c r="C326" s="1">
        <f t="shared" si="332"/>
        <v>5</v>
      </c>
      <c r="D326" s="1" t="s">
        <v>108</v>
      </c>
      <c r="E326" s="1" t="s">
        <v>875</v>
      </c>
      <c r="F326" s="1" t="s">
        <v>875</v>
      </c>
      <c r="G326" s="1" t="s">
        <v>936</v>
      </c>
      <c r="H326" s="1"/>
      <c r="I326" s="25">
        <v>20000.0</v>
      </c>
      <c r="J326" s="25">
        <v>25000.0</v>
      </c>
      <c r="K326" s="5">
        <f t="shared" si="312"/>
        <v>20</v>
      </c>
      <c r="L326" s="25">
        <f t="shared" si="313"/>
        <v>5000</v>
      </c>
      <c r="M326" s="1"/>
      <c r="N326" s="25">
        <v>20000.0</v>
      </c>
      <c r="O326" s="25">
        <v>25000.0</v>
      </c>
      <c r="P326" s="25">
        <f t="shared" si="392"/>
        <v>20000</v>
      </c>
      <c r="Q326" s="25">
        <f t="shared" si="393"/>
        <v>25000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 t="s">
        <v>873</v>
      </c>
      <c r="B327" s="1">
        <f t="shared" si="331"/>
        <v>38</v>
      </c>
      <c r="C327" s="1">
        <f t="shared" si="332"/>
        <v>5</v>
      </c>
      <c r="D327" s="1" t="s">
        <v>129</v>
      </c>
      <c r="E327" s="1" t="s">
        <v>875</v>
      </c>
      <c r="F327" s="1" t="s">
        <v>875</v>
      </c>
      <c r="G327" s="1" t="s">
        <v>937</v>
      </c>
      <c r="H327" s="1"/>
      <c r="I327" s="25">
        <v>25000.0</v>
      </c>
      <c r="J327" s="25">
        <v>35000.0</v>
      </c>
      <c r="K327" s="5">
        <f t="shared" si="312"/>
        <v>28.57142857</v>
      </c>
      <c r="L327" s="25">
        <f t="shared" si="313"/>
        <v>10000</v>
      </c>
      <c r="M327" s="1"/>
      <c r="N327" s="25">
        <v>25000.0</v>
      </c>
      <c r="O327" s="25">
        <v>35000.0</v>
      </c>
      <c r="P327" s="25">
        <f t="shared" si="392"/>
        <v>25000</v>
      </c>
      <c r="Q327" s="25">
        <f t="shared" si="393"/>
        <v>35000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 t="s">
        <v>873</v>
      </c>
      <c r="B328" s="1">
        <f t="shared" si="331"/>
        <v>39</v>
      </c>
      <c r="C328" s="1">
        <f t="shared" si="332"/>
        <v>5</v>
      </c>
      <c r="D328" s="1" t="s">
        <v>938</v>
      </c>
      <c r="E328" s="1" t="s">
        <v>875</v>
      </c>
      <c r="F328" s="1" t="s">
        <v>875</v>
      </c>
      <c r="G328" s="1" t="s">
        <v>939</v>
      </c>
      <c r="H328" s="33"/>
      <c r="I328" s="32">
        <v>40000.0</v>
      </c>
      <c r="J328" s="32">
        <v>65000.0</v>
      </c>
      <c r="K328" s="31">
        <f t="shared" si="312"/>
        <v>38.46153846</v>
      </c>
      <c r="L328" s="32">
        <f t="shared" si="313"/>
        <v>25000</v>
      </c>
      <c r="M328" s="1" t="s">
        <v>591</v>
      </c>
      <c r="N328" s="25">
        <f t="shared" ref="N328:O328" si="401">I328</f>
        <v>40000</v>
      </c>
      <c r="O328" s="25">
        <f t="shared" si="401"/>
        <v>65000</v>
      </c>
      <c r="P328" s="25">
        <f t="shared" si="392"/>
        <v>40000</v>
      </c>
      <c r="Q328" s="25">
        <f t="shared" si="393"/>
        <v>65000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 t="s">
        <v>873</v>
      </c>
      <c r="B329" s="1">
        <f t="shared" si="331"/>
        <v>40</v>
      </c>
      <c r="C329" s="1">
        <f t="shared" si="332"/>
        <v>5</v>
      </c>
      <c r="D329" s="1" t="s">
        <v>940</v>
      </c>
      <c r="E329" s="1" t="s">
        <v>875</v>
      </c>
      <c r="F329" s="1" t="s">
        <v>875</v>
      </c>
      <c r="G329" s="1" t="s">
        <v>941</v>
      </c>
      <c r="H329" s="33"/>
      <c r="I329" s="32">
        <v>15000.0</v>
      </c>
      <c r="J329" s="32">
        <v>25000.0</v>
      </c>
      <c r="K329" s="31">
        <f t="shared" si="312"/>
        <v>40</v>
      </c>
      <c r="L329" s="32">
        <f t="shared" si="313"/>
        <v>10000</v>
      </c>
      <c r="M329" s="1" t="s">
        <v>591</v>
      </c>
      <c r="N329" s="25">
        <f t="shared" ref="N329:O329" si="402">I329</f>
        <v>15000</v>
      </c>
      <c r="O329" s="25">
        <f t="shared" si="402"/>
        <v>25000</v>
      </c>
      <c r="P329" s="25">
        <f t="shared" si="392"/>
        <v>15000</v>
      </c>
      <c r="Q329" s="25">
        <f t="shared" si="393"/>
        <v>25000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 t="s">
        <v>873</v>
      </c>
      <c r="B330" s="1">
        <f t="shared" si="331"/>
        <v>41</v>
      </c>
      <c r="C330" s="1">
        <f t="shared" si="332"/>
        <v>5</v>
      </c>
      <c r="D330" s="1" t="s">
        <v>25</v>
      </c>
      <c r="E330" s="1" t="s">
        <v>875</v>
      </c>
      <c r="F330" s="1" t="s">
        <v>875</v>
      </c>
      <c r="G330" s="1" t="s">
        <v>942</v>
      </c>
      <c r="H330" s="33"/>
      <c r="I330" s="32">
        <v>25000.0</v>
      </c>
      <c r="J330" s="32">
        <v>45000.0</v>
      </c>
      <c r="K330" s="31">
        <f t="shared" si="312"/>
        <v>44.44444444</v>
      </c>
      <c r="L330" s="32">
        <f t="shared" si="313"/>
        <v>20000</v>
      </c>
      <c r="M330" s="1" t="s">
        <v>591</v>
      </c>
      <c r="N330" s="25">
        <f t="shared" ref="N330:O330" si="403">I330</f>
        <v>25000</v>
      </c>
      <c r="O330" s="25">
        <f t="shared" si="403"/>
        <v>45000</v>
      </c>
      <c r="P330" s="25">
        <f t="shared" si="392"/>
        <v>25000</v>
      </c>
      <c r="Q330" s="25">
        <f t="shared" si="393"/>
        <v>45000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 t="s">
        <v>873</v>
      </c>
      <c r="B331" s="1">
        <f t="shared" si="331"/>
        <v>42</v>
      </c>
      <c r="C331" s="1">
        <f t="shared" si="332"/>
        <v>5</v>
      </c>
      <c r="D331" s="1" t="s">
        <v>943</v>
      </c>
      <c r="E331" s="1" t="s">
        <v>875</v>
      </c>
      <c r="F331" s="1" t="s">
        <v>875</v>
      </c>
      <c r="G331" s="1" t="s">
        <v>944</v>
      </c>
      <c r="H331" s="1"/>
      <c r="I331" s="25">
        <v>35000.0</v>
      </c>
      <c r="J331" s="25">
        <v>50000.0</v>
      </c>
      <c r="K331" s="5">
        <f t="shared" si="312"/>
        <v>30</v>
      </c>
      <c r="L331" s="25">
        <f t="shared" si="313"/>
        <v>15000</v>
      </c>
      <c r="M331" s="1" t="s">
        <v>407</v>
      </c>
      <c r="N331" s="25">
        <v>35000.0</v>
      </c>
      <c r="O331" s="25">
        <v>50000.0</v>
      </c>
      <c r="P331" s="25">
        <f t="shared" si="392"/>
        <v>35000</v>
      </c>
      <c r="Q331" s="25">
        <f t="shared" si="393"/>
        <v>50000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 t="s">
        <v>873</v>
      </c>
      <c r="B332" s="1">
        <f t="shared" si="331"/>
        <v>43</v>
      </c>
      <c r="C332" s="1">
        <f t="shared" si="332"/>
        <v>5</v>
      </c>
      <c r="D332" s="1" t="s">
        <v>18</v>
      </c>
      <c r="E332" s="1" t="s">
        <v>875</v>
      </c>
      <c r="F332" s="1" t="s">
        <v>875</v>
      </c>
      <c r="G332" s="1" t="s">
        <v>945</v>
      </c>
      <c r="H332" s="1"/>
      <c r="I332" s="25">
        <v>8000.0</v>
      </c>
      <c r="J332" s="25">
        <v>15000.0</v>
      </c>
      <c r="K332" s="5">
        <f t="shared" si="312"/>
        <v>46.66666667</v>
      </c>
      <c r="L332" s="25">
        <f t="shared" si="313"/>
        <v>7000</v>
      </c>
      <c r="M332" s="1" t="s">
        <v>398</v>
      </c>
      <c r="N332" s="25">
        <v>8000.0</v>
      </c>
      <c r="O332" s="25">
        <v>15000.0</v>
      </c>
      <c r="P332" s="25">
        <f t="shared" si="392"/>
        <v>8000</v>
      </c>
      <c r="Q332" s="25">
        <f t="shared" si="393"/>
        <v>15000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 t="s">
        <v>873</v>
      </c>
      <c r="B333" s="1">
        <f t="shared" si="331"/>
        <v>44</v>
      </c>
      <c r="C333" s="1">
        <f t="shared" si="332"/>
        <v>5</v>
      </c>
      <c r="D333" s="1" t="s">
        <v>946</v>
      </c>
      <c r="E333" s="1" t="s">
        <v>875</v>
      </c>
      <c r="F333" s="1" t="s">
        <v>875</v>
      </c>
      <c r="G333" s="1" t="s">
        <v>947</v>
      </c>
      <c r="H333" s="1"/>
      <c r="I333" s="25">
        <v>17000.0</v>
      </c>
      <c r="J333" s="25">
        <v>22000.0</v>
      </c>
      <c r="K333" s="5">
        <f t="shared" si="312"/>
        <v>22.72727273</v>
      </c>
      <c r="L333" s="25">
        <f t="shared" si="313"/>
        <v>5000</v>
      </c>
      <c r="M333" s="1" t="s">
        <v>398</v>
      </c>
      <c r="N333" s="25">
        <v>17000.0</v>
      </c>
      <c r="O333" s="25">
        <v>22000.0</v>
      </c>
      <c r="P333" s="25">
        <f t="shared" si="392"/>
        <v>17000</v>
      </c>
      <c r="Q333" s="25">
        <f t="shared" si="393"/>
        <v>22000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 t="s">
        <v>873</v>
      </c>
      <c r="B334" s="1">
        <f t="shared" si="331"/>
        <v>45</v>
      </c>
      <c r="C334" s="1">
        <f t="shared" si="332"/>
        <v>5</v>
      </c>
      <c r="D334" s="1" t="s">
        <v>948</v>
      </c>
      <c r="E334" s="1" t="s">
        <v>875</v>
      </c>
      <c r="F334" s="1" t="s">
        <v>875</v>
      </c>
      <c r="G334" s="1" t="s">
        <v>949</v>
      </c>
      <c r="H334" s="1"/>
      <c r="I334" s="25">
        <v>15000.0</v>
      </c>
      <c r="J334" s="25">
        <v>20000.0</v>
      </c>
      <c r="K334" s="5">
        <f t="shared" si="312"/>
        <v>25</v>
      </c>
      <c r="L334" s="25">
        <f t="shared" si="313"/>
        <v>5000</v>
      </c>
      <c r="M334" s="1" t="s">
        <v>398</v>
      </c>
      <c r="N334" s="25">
        <v>15000.0</v>
      </c>
      <c r="O334" s="25">
        <v>20000.0</v>
      </c>
      <c r="P334" s="25">
        <f t="shared" si="392"/>
        <v>15000</v>
      </c>
      <c r="Q334" s="25">
        <f t="shared" si="393"/>
        <v>20000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 t="s">
        <v>873</v>
      </c>
      <c r="B335" s="1">
        <f t="shared" si="331"/>
        <v>46</v>
      </c>
      <c r="C335" s="1">
        <f t="shared" si="332"/>
        <v>5</v>
      </c>
      <c r="D335" s="1" t="s">
        <v>950</v>
      </c>
      <c r="E335" s="1" t="s">
        <v>875</v>
      </c>
      <c r="F335" s="1" t="s">
        <v>875</v>
      </c>
      <c r="G335" s="1" t="s">
        <v>951</v>
      </c>
      <c r="H335" s="1"/>
      <c r="I335" s="25">
        <v>45000.0</v>
      </c>
      <c r="J335" s="25">
        <v>53000.0</v>
      </c>
      <c r="K335" s="5">
        <f t="shared" si="312"/>
        <v>15.09433962</v>
      </c>
      <c r="L335" s="25">
        <f t="shared" si="313"/>
        <v>8000</v>
      </c>
      <c r="M335" s="1" t="s">
        <v>451</v>
      </c>
      <c r="N335" s="25">
        <v>45000.0</v>
      </c>
      <c r="O335" s="25">
        <v>53000.0</v>
      </c>
      <c r="P335" s="25">
        <f t="shared" si="392"/>
        <v>45000</v>
      </c>
      <c r="Q335" s="25">
        <f t="shared" si="393"/>
        <v>53000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 t="s">
        <v>873</v>
      </c>
      <c r="B336" s="1">
        <f t="shared" si="331"/>
        <v>47</v>
      </c>
      <c r="C336" s="1">
        <f t="shared" si="332"/>
        <v>5</v>
      </c>
      <c r="D336" s="1" t="s">
        <v>253</v>
      </c>
      <c r="E336" s="1" t="s">
        <v>875</v>
      </c>
      <c r="F336" s="1" t="s">
        <v>875</v>
      </c>
      <c r="G336" s="1" t="s">
        <v>952</v>
      </c>
      <c r="H336" s="1"/>
      <c r="I336" s="25">
        <v>60000.0</v>
      </c>
      <c r="J336" s="25">
        <v>68000.0</v>
      </c>
      <c r="K336" s="5">
        <f t="shared" si="312"/>
        <v>11.76470588</v>
      </c>
      <c r="L336" s="25">
        <f t="shared" si="313"/>
        <v>8000</v>
      </c>
      <c r="M336" s="1" t="s">
        <v>451</v>
      </c>
      <c r="N336" s="25">
        <v>60000.0</v>
      </c>
      <c r="O336" s="25">
        <v>68000.0</v>
      </c>
      <c r="P336" s="25">
        <f t="shared" si="392"/>
        <v>60000</v>
      </c>
      <c r="Q336" s="25">
        <f t="shared" si="393"/>
        <v>68000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 t="s">
        <v>873</v>
      </c>
      <c r="B337" s="1">
        <f t="shared" si="331"/>
        <v>48</v>
      </c>
      <c r="C337" s="1">
        <f t="shared" si="332"/>
        <v>5</v>
      </c>
      <c r="D337" s="1" t="s">
        <v>91</v>
      </c>
      <c r="E337" s="1" t="s">
        <v>875</v>
      </c>
      <c r="F337" s="1" t="s">
        <v>875</v>
      </c>
      <c r="G337" s="1" t="s">
        <v>953</v>
      </c>
      <c r="H337" s="1"/>
      <c r="I337" s="25">
        <v>1900.0</v>
      </c>
      <c r="J337" s="25">
        <v>3000.0</v>
      </c>
      <c r="K337" s="5">
        <f t="shared" si="312"/>
        <v>36.66666667</v>
      </c>
      <c r="L337" s="25">
        <f t="shared" si="313"/>
        <v>1100</v>
      </c>
      <c r="M337" s="1" t="s">
        <v>451</v>
      </c>
      <c r="N337" s="25">
        <v>1900.0</v>
      </c>
      <c r="O337" s="25">
        <v>3000.0</v>
      </c>
      <c r="P337" s="25">
        <f t="shared" si="392"/>
        <v>1900</v>
      </c>
      <c r="Q337" s="25">
        <f t="shared" si="393"/>
        <v>3000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 t="s">
        <v>873</v>
      </c>
      <c r="B338" s="1">
        <f t="shared" si="331"/>
        <v>49</v>
      </c>
      <c r="C338" s="1">
        <f t="shared" si="332"/>
        <v>5</v>
      </c>
      <c r="D338" s="1" t="s">
        <v>225</v>
      </c>
      <c r="E338" s="1" t="s">
        <v>875</v>
      </c>
      <c r="F338" s="1" t="s">
        <v>875</v>
      </c>
      <c r="G338" s="1" t="s">
        <v>954</v>
      </c>
      <c r="H338" s="1"/>
      <c r="I338" s="1">
        <v>17600.0</v>
      </c>
      <c r="J338" s="1">
        <v>23000.0</v>
      </c>
      <c r="K338" s="5">
        <f t="shared" si="312"/>
        <v>23.47826087</v>
      </c>
      <c r="L338" s="25">
        <f t="shared" si="313"/>
        <v>5400</v>
      </c>
      <c r="M338" s="1" t="s">
        <v>451</v>
      </c>
      <c r="N338" s="1">
        <v>17600.0</v>
      </c>
      <c r="O338" s="1">
        <v>25000.0</v>
      </c>
      <c r="P338" s="1">
        <f t="shared" si="392"/>
        <v>17600</v>
      </c>
      <c r="Q338" s="1">
        <f t="shared" si="393"/>
        <v>25000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 t="s">
        <v>873</v>
      </c>
      <c r="B339" s="1">
        <f t="shared" si="331"/>
        <v>50</v>
      </c>
      <c r="C339" s="1">
        <f t="shared" si="332"/>
        <v>5</v>
      </c>
      <c r="D339" s="1" t="s">
        <v>955</v>
      </c>
      <c r="E339" s="1" t="s">
        <v>875</v>
      </c>
      <c r="F339" s="1" t="s">
        <v>875</v>
      </c>
      <c r="G339" s="1" t="s">
        <v>956</v>
      </c>
      <c r="H339" s="1"/>
      <c r="I339" s="25">
        <f>88000/5</f>
        <v>17600</v>
      </c>
      <c r="J339" s="25">
        <v>23000.0</v>
      </c>
      <c r="K339" s="5">
        <f t="shared" si="312"/>
        <v>23.47826087</v>
      </c>
      <c r="L339" s="25">
        <f t="shared" si="313"/>
        <v>5400</v>
      </c>
      <c r="M339" s="1" t="s">
        <v>591</v>
      </c>
      <c r="N339" s="25">
        <f t="shared" ref="N339:O339" si="404">I339</f>
        <v>17600</v>
      </c>
      <c r="O339" s="25">
        <f t="shared" si="404"/>
        <v>23000</v>
      </c>
      <c r="P339" s="25">
        <f t="shared" si="392"/>
        <v>17600</v>
      </c>
      <c r="Q339" s="25">
        <f t="shared" si="393"/>
        <v>23000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 t="s">
        <v>873</v>
      </c>
      <c r="B340" s="1">
        <f t="shared" si="331"/>
        <v>51</v>
      </c>
      <c r="C340" s="1">
        <f t="shared" si="332"/>
        <v>5</v>
      </c>
      <c r="D340" s="1" t="s">
        <v>957</v>
      </c>
      <c r="E340" s="1" t="s">
        <v>875</v>
      </c>
      <c r="F340" s="1" t="s">
        <v>875</v>
      </c>
      <c r="G340" s="1" t="s">
        <v>958</v>
      </c>
      <c r="H340" s="1"/>
      <c r="I340" s="25">
        <v>101000.0</v>
      </c>
      <c r="J340" s="25">
        <v>95000.0</v>
      </c>
      <c r="K340" s="5">
        <f t="shared" si="312"/>
        <v>-6.315789474</v>
      </c>
      <c r="L340" s="25">
        <f t="shared" si="313"/>
        <v>-6000</v>
      </c>
      <c r="M340" s="1" t="s">
        <v>451</v>
      </c>
      <c r="N340" s="25">
        <v>101000.0</v>
      </c>
      <c r="O340" s="25">
        <v>95000.0</v>
      </c>
      <c r="P340" s="25">
        <f t="shared" si="392"/>
        <v>101000</v>
      </c>
      <c r="Q340" s="25">
        <f t="shared" si="393"/>
        <v>95000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 t="s">
        <v>873</v>
      </c>
      <c r="B341" s="1">
        <f t="shared" si="331"/>
        <v>52</v>
      </c>
      <c r="C341" s="1">
        <f t="shared" si="332"/>
        <v>5</v>
      </c>
      <c r="D341" s="1" t="s">
        <v>87</v>
      </c>
      <c r="E341" s="1" t="s">
        <v>875</v>
      </c>
      <c r="F341" s="1" t="s">
        <v>875</v>
      </c>
      <c r="G341" s="1" t="s">
        <v>959</v>
      </c>
      <c r="H341" s="1"/>
      <c r="I341" s="25">
        <v>17050.0</v>
      </c>
      <c r="J341" s="25">
        <v>25000.0</v>
      </c>
      <c r="K341" s="5">
        <f t="shared" si="312"/>
        <v>31.8</v>
      </c>
      <c r="L341" s="25">
        <f t="shared" si="313"/>
        <v>7950</v>
      </c>
      <c r="M341" s="1"/>
      <c r="N341" s="25">
        <v>17050.0</v>
      </c>
      <c r="O341" s="25">
        <v>25000.0</v>
      </c>
      <c r="P341" s="25">
        <f t="shared" si="392"/>
        <v>17050</v>
      </c>
      <c r="Q341" s="25">
        <f t="shared" si="393"/>
        <v>25000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 t="s">
        <v>873</v>
      </c>
      <c r="B342" s="1">
        <f t="shared" si="331"/>
        <v>53</v>
      </c>
      <c r="C342" s="1">
        <f t="shared" si="332"/>
        <v>5</v>
      </c>
      <c r="D342" s="1" t="s">
        <v>960</v>
      </c>
      <c r="E342" s="1" t="s">
        <v>875</v>
      </c>
      <c r="F342" s="1" t="s">
        <v>875</v>
      </c>
      <c r="G342" s="1" t="s">
        <v>961</v>
      </c>
      <c r="H342" s="1"/>
      <c r="I342" s="25">
        <v>16500.0</v>
      </c>
      <c r="J342" s="5">
        <v>25000.0</v>
      </c>
      <c r="K342" s="5">
        <f t="shared" si="312"/>
        <v>34</v>
      </c>
      <c r="L342" s="25">
        <f t="shared" si="313"/>
        <v>8500</v>
      </c>
      <c r="M342" s="1" t="s">
        <v>591</v>
      </c>
      <c r="N342" s="25">
        <f t="shared" ref="N342:O342" si="405">I342</f>
        <v>16500</v>
      </c>
      <c r="O342" s="25">
        <f t="shared" si="405"/>
        <v>25000</v>
      </c>
      <c r="P342" s="25">
        <f t="shared" si="392"/>
        <v>16500</v>
      </c>
      <c r="Q342" s="25">
        <f t="shared" si="393"/>
        <v>25000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 t="s">
        <v>873</v>
      </c>
      <c r="B343" s="1">
        <f t="shared" si="331"/>
        <v>54</v>
      </c>
      <c r="C343" s="1">
        <f t="shared" si="332"/>
        <v>5</v>
      </c>
      <c r="D343" s="1" t="s">
        <v>195</v>
      </c>
      <c r="E343" s="1" t="s">
        <v>875</v>
      </c>
      <c r="F343" s="1" t="s">
        <v>875</v>
      </c>
      <c r="G343" s="1" t="s">
        <v>962</v>
      </c>
      <c r="H343" s="1"/>
      <c r="I343" s="25">
        <v>20000.0</v>
      </c>
      <c r="J343" s="25">
        <v>25000.0</v>
      </c>
      <c r="K343" s="5">
        <f t="shared" si="312"/>
        <v>20</v>
      </c>
      <c r="L343" s="25">
        <f t="shared" si="313"/>
        <v>5000</v>
      </c>
      <c r="M343" s="1" t="s">
        <v>451</v>
      </c>
      <c r="N343" s="25">
        <v>20000.0</v>
      </c>
      <c r="O343" s="25">
        <v>25000.0</v>
      </c>
      <c r="P343" s="25">
        <f t="shared" si="392"/>
        <v>20000</v>
      </c>
      <c r="Q343" s="25">
        <f t="shared" si="393"/>
        <v>25000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 t="s">
        <v>873</v>
      </c>
      <c r="B344" s="1">
        <f t="shared" si="331"/>
        <v>55</v>
      </c>
      <c r="C344" s="1">
        <f t="shared" si="332"/>
        <v>5</v>
      </c>
      <c r="D344" s="1" t="s">
        <v>963</v>
      </c>
      <c r="E344" s="1" t="s">
        <v>875</v>
      </c>
      <c r="F344" s="1" t="s">
        <v>875</v>
      </c>
      <c r="G344" s="1" t="s">
        <v>964</v>
      </c>
      <c r="H344" s="1"/>
      <c r="I344" s="25">
        <v>20000.0</v>
      </c>
      <c r="J344" s="25">
        <v>25000.0</v>
      </c>
      <c r="K344" s="5">
        <f t="shared" si="312"/>
        <v>20</v>
      </c>
      <c r="L344" s="25">
        <f t="shared" si="313"/>
        <v>5000</v>
      </c>
      <c r="M344" s="1" t="s">
        <v>451</v>
      </c>
      <c r="N344" s="25">
        <v>20000.0</v>
      </c>
      <c r="O344" s="25">
        <v>25000.0</v>
      </c>
      <c r="P344" s="25">
        <f t="shared" si="392"/>
        <v>20000</v>
      </c>
      <c r="Q344" s="25">
        <f t="shared" si="393"/>
        <v>25000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 t="s">
        <v>873</v>
      </c>
      <c r="B345" s="1">
        <f t="shared" si="331"/>
        <v>56</v>
      </c>
      <c r="C345" s="1">
        <f t="shared" si="332"/>
        <v>5</v>
      </c>
      <c r="D345" s="1" t="s">
        <v>965</v>
      </c>
      <c r="E345" s="1" t="s">
        <v>875</v>
      </c>
      <c r="F345" s="1" t="s">
        <v>875</v>
      </c>
      <c r="G345" s="1" t="s">
        <v>966</v>
      </c>
      <c r="H345" s="1"/>
      <c r="I345" s="25">
        <v>2000.0</v>
      </c>
      <c r="J345" s="25">
        <v>3000.0</v>
      </c>
      <c r="K345" s="5">
        <f t="shared" si="312"/>
        <v>33.33333333</v>
      </c>
      <c r="L345" s="25">
        <f t="shared" si="313"/>
        <v>1000</v>
      </c>
      <c r="M345" s="1" t="s">
        <v>451</v>
      </c>
      <c r="N345" s="25">
        <f t="shared" ref="N345:O345" si="406">I345</f>
        <v>2000</v>
      </c>
      <c r="O345" s="25">
        <f t="shared" si="406"/>
        <v>3000</v>
      </c>
      <c r="P345" s="25">
        <f t="shared" si="392"/>
        <v>2000</v>
      </c>
      <c r="Q345" s="25">
        <f t="shared" si="393"/>
        <v>3000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 t="s">
        <v>873</v>
      </c>
      <c r="B346" s="1">
        <f t="shared" si="331"/>
        <v>57</v>
      </c>
      <c r="C346" s="1">
        <f t="shared" si="332"/>
        <v>5</v>
      </c>
      <c r="D346" s="1" t="s">
        <v>267</v>
      </c>
      <c r="E346" s="1" t="s">
        <v>875</v>
      </c>
      <c r="F346" s="1" t="s">
        <v>875</v>
      </c>
      <c r="G346" s="1" t="s">
        <v>967</v>
      </c>
      <c r="H346" s="1"/>
      <c r="I346" s="25">
        <v>21000.0</v>
      </c>
      <c r="J346" s="25">
        <v>35000.0</v>
      </c>
      <c r="K346" s="5">
        <f t="shared" si="312"/>
        <v>40</v>
      </c>
      <c r="L346" s="25">
        <f t="shared" si="313"/>
        <v>14000</v>
      </c>
      <c r="M346" s="1"/>
      <c r="N346" s="25">
        <v>21000.0</v>
      </c>
      <c r="O346" s="25">
        <v>35000.0</v>
      </c>
      <c r="P346" s="25">
        <f t="shared" si="392"/>
        <v>21000</v>
      </c>
      <c r="Q346" s="25">
        <f t="shared" si="393"/>
        <v>35000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 t="s">
        <v>873</v>
      </c>
      <c r="B347" s="1">
        <f t="shared" si="331"/>
        <v>58</v>
      </c>
      <c r="C347" s="1">
        <f t="shared" si="332"/>
        <v>5</v>
      </c>
      <c r="D347" s="1" t="s">
        <v>968</v>
      </c>
      <c r="E347" s="1" t="s">
        <v>875</v>
      </c>
      <c r="F347" s="1" t="s">
        <v>875</v>
      </c>
      <c r="G347" s="1" t="s">
        <v>969</v>
      </c>
      <c r="H347" s="1"/>
      <c r="I347" s="25">
        <v>21000.0</v>
      </c>
      <c r="J347" s="25">
        <v>35000.0</v>
      </c>
      <c r="K347" s="5">
        <f t="shared" si="312"/>
        <v>40</v>
      </c>
      <c r="L347" s="25">
        <f t="shared" si="313"/>
        <v>14000</v>
      </c>
      <c r="M347" s="1"/>
      <c r="N347" s="25">
        <v>21000.0</v>
      </c>
      <c r="O347" s="25">
        <v>35000.0</v>
      </c>
      <c r="P347" s="25">
        <f t="shared" si="392"/>
        <v>21000</v>
      </c>
      <c r="Q347" s="25">
        <f t="shared" si="393"/>
        <v>35000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 t="s">
        <v>873</v>
      </c>
      <c r="B348" s="1">
        <f t="shared" si="331"/>
        <v>59</v>
      </c>
      <c r="C348" s="1">
        <f t="shared" si="332"/>
        <v>5</v>
      </c>
      <c r="D348" s="1" t="s">
        <v>970</v>
      </c>
      <c r="E348" s="1" t="s">
        <v>875</v>
      </c>
      <c r="F348" s="1" t="s">
        <v>875</v>
      </c>
      <c r="G348" s="1" t="s">
        <v>971</v>
      </c>
      <c r="H348" s="1"/>
      <c r="I348" s="25">
        <v>30000.0</v>
      </c>
      <c r="J348" s="25">
        <v>60000.0</v>
      </c>
      <c r="K348" s="5">
        <f t="shared" si="312"/>
        <v>50</v>
      </c>
      <c r="L348" s="25">
        <f t="shared" si="313"/>
        <v>30000</v>
      </c>
      <c r="M348" s="1" t="s">
        <v>381</v>
      </c>
      <c r="N348" s="25">
        <f t="shared" ref="N348:O348" si="407">I348</f>
        <v>30000</v>
      </c>
      <c r="O348" s="25">
        <f t="shared" si="407"/>
        <v>60000</v>
      </c>
      <c r="P348" s="25">
        <f t="shared" si="392"/>
        <v>30000</v>
      </c>
      <c r="Q348" s="25">
        <f t="shared" si="393"/>
        <v>60000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 t="s">
        <v>873</v>
      </c>
      <c r="B349" s="1">
        <f t="shared" si="331"/>
        <v>60</v>
      </c>
      <c r="C349" s="1">
        <f t="shared" si="332"/>
        <v>5</v>
      </c>
      <c r="D349" s="1" t="s">
        <v>972</v>
      </c>
      <c r="E349" s="1" t="s">
        <v>875</v>
      </c>
      <c r="F349" s="1" t="s">
        <v>875</v>
      </c>
      <c r="G349" s="1" t="s">
        <v>973</v>
      </c>
      <c r="H349" s="1"/>
      <c r="I349" s="25">
        <v>6750.0</v>
      </c>
      <c r="J349" s="25">
        <v>15000.0</v>
      </c>
      <c r="K349" s="5">
        <f t="shared" si="312"/>
        <v>55</v>
      </c>
      <c r="L349" s="25">
        <f t="shared" si="313"/>
        <v>8250</v>
      </c>
      <c r="M349" s="1" t="s">
        <v>381</v>
      </c>
      <c r="N349" s="25">
        <v>6750.0</v>
      </c>
      <c r="O349" s="25">
        <v>15000.0</v>
      </c>
      <c r="P349" s="25">
        <f t="shared" si="392"/>
        <v>6750</v>
      </c>
      <c r="Q349" s="25">
        <f t="shared" si="393"/>
        <v>15000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 t="s">
        <v>873</v>
      </c>
      <c r="B350" s="1">
        <f t="shared" si="331"/>
        <v>61</v>
      </c>
      <c r="C350" s="1">
        <f t="shared" si="332"/>
        <v>5</v>
      </c>
      <c r="D350" s="1" t="s">
        <v>974</v>
      </c>
      <c r="E350" s="1" t="s">
        <v>875</v>
      </c>
      <c r="F350" s="1" t="s">
        <v>875</v>
      </c>
      <c r="G350" s="1" t="s">
        <v>975</v>
      </c>
      <c r="H350" s="1"/>
      <c r="I350" s="25">
        <v>67500.0</v>
      </c>
      <c r="J350" s="25">
        <v>95000.0</v>
      </c>
      <c r="K350" s="5">
        <f t="shared" si="312"/>
        <v>28.94736842</v>
      </c>
      <c r="L350" s="25">
        <f t="shared" si="313"/>
        <v>27500</v>
      </c>
      <c r="M350" s="1" t="s">
        <v>381</v>
      </c>
      <c r="N350" s="25">
        <v>67500.0</v>
      </c>
      <c r="O350" s="25">
        <v>95000.0</v>
      </c>
      <c r="P350" s="25">
        <f t="shared" si="392"/>
        <v>67500</v>
      </c>
      <c r="Q350" s="25">
        <f t="shared" si="393"/>
        <v>95000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 t="s">
        <v>873</v>
      </c>
      <c r="B351" s="1">
        <f t="shared" si="331"/>
        <v>62</v>
      </c>
      <c r="C351" s="1">
        <f t="shared" si="332"/>
        <v>5</v>
      </c>
      <c r="D351" s="1" t="s">
        <v>976</v>
      </c>
      <c r="E351" s="1" t="s">
        <v>875</v>
      </c>
      <c r="F351" s="1" t="s">
        <v>875</v>
      </c>
      <c r="G351" s="1" t="s">
        <v>977</v>
      </c>
      <c r="H351" s="1"/>
      <c r="I351" s="25">
        <v>45000.0</v>
      </c>
      <c r="J351" s="25">
        <v>55000.0</v>
      </c>
      <c r="K351" s="31">
        <f t="shared" si="312"/>
        <v>18.18181818</v>
      </c>
      <c r="L351" s="32">
        <f t="shared" si="313"/>
        <v>10000</v>
      </c>
      <c r="M351" s="1" t="s">
        <v>591</v>
      </c>
      <c r="N351" s="25">
        <f t="shared" ref="N351:O351" si="408">I351</f>
        <v>45000</v>
      </c>
      <c r="O351" s="25">
        <f t="shared" si="408"/>
        <v>55000</v>
      </c>
      <c r="P351" s="25">
        <f t="shared" si="392"/>
        <v>45000</v>
      </c>
      <c r="Q351" s="25">
        <f t="shared" si="393"/>
        <v>55000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 t="s">
        <v>873</v>
      </c>
      <c r="B352" s="1">
        <f t="shared" si="331"/>
        <v>63</v>
      </c>
      <c r="C352" s="1">
        <f t="shared" si="332"/>
        <v>5</v>
      </c>
      <c r="D352" s="1" t="s">
        <v>978</v>
      </c>
      <c r="E352" s="1" t="s">
        <v>875</v>
      </c>
      <c r="F352" s="1" t="s">
        <v>875</v>
      </c>
      <c r="G352" s="1" t="s">
        <v>979</v>
      </c>
      <c r="H352" s="1"/>
      <c r="I352" s="25">
        <v>5000.0</v>
      </c>
      <c r="J352" s="25">
        <v>7000.0</v>
      </c>
      <c r="K352" s="5">
        <f t="shared" si="312"/>
        <v>28.57142857</v>
      </c>
      <c r="L352" s="25">
        <f t="shared" si="313"/>
        <v>2000</v>
      </c>
      <c r="M352" s="1" t="s">
        <v>451</v>
      </c>
      <c r="N352" s="25">
        <v>5000.0</v>
      </c>
      <c r="O352" s="25">
        <v>7000.0</v>
      </c>
      <c r="P352" s="25">
        <f t="shared" si="392"/>
        <v>5000</v>
      </c>
      <c r="Q352" s="25">
        <f t="shared" si="393"/>
        <v>7000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 t="s">
        <v>873</v>
      </c>
      <c r="B353" s="1">
        <f t="shared" si="331"/>
        <v>64</v>
      </c>
      <c r="C353" s="1">
        <f t="shared" si="332"/>
        <v>5</v>
      </c>
      <c r="D353" s="1" t="s">
        <v>56</v>
      </c>
      <c r="E353" s="1" t="s">
        <v>875</v>
      </c>
      <c r="F353" s="1" t="s">
        <v>875</v>
      </c>
      <c r="G353" s="1" t="s">
        <v>980</v>
      </c>
      <c r="H353" s="1"/>
      <c r="I353" s="25">
        <v>10000.0</v>
      </c>
      <c r="J353" s="25">
        <v>14000.0</v>
      </c>
      <c r="K353" s="5">
        <f t="shared" si="312"/>
        <v>28.57142857</v>
      </c>
      <c r="L353" s="25">
        <f t="shared" si="313"/>
        <v>4000</v>
      </c>
      <c r="M353" s="1"/>
      <c r="N353" s="25">
        <v>10000.0</v>
      </c>
      <c r="O353" s="25">
        <v>14000.0</v>
      </c>
      <c r="P353" s="25">
        <f t="shared" si="392"/>
        <v>10000</v>
      </c>
      <c r="Q353" s="25">
        <f t="shared" si="393"/>
        <v>14000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 t="s">
        <v>873</v>
      </c>
      <c r="B354" s="1">
        <f t="shared" si="331"/>
        <v>65</v>
      </c>
      <c r="C354" s="1">
        <f t="shared" si="332"/>
        <v>5</v>
      </c>
      <c r="D354" s="1" t="s">
        <v>981</v>
      </c>
      <c r="E354" s="1" t="s">
        <v>875</v>
      </c>
      <c r="F354" s="1" t="s">
        <v>875</v>
      </c>
      <c r="G354" s="1" t="s">
        <v>982</v>
      </c>
      <c r="H354" s="1"/>
      <c r="I354" s="25">
        <v>47000.0</v>
      </c>
      <c r="J354" s="25">
        <v>70000.0</v>
      </c>
      <c r="K354" s="5">
        <f t="shared" si="312"/>
        <v>32.85714286</v>
      </c>
      <c r="L354" s="25">
        <f t="shared" si="313"/>
        <v>23000</v>
      </c>
      <c r="M354" s="1" t="s">
        <v>591</v>
      </c>
      <c r="N354" s="25">
        <f t="shared" ref="N354:O354" si="409">I354</f>
        <v>47000</v>
      </c>
      <c r="O354" s="25">
        <f t="shared" si="409"/>
        <v>70000</v>
      </c>
      <c r="P354" s="25">
        <f t="shared" si="392"/>
        <v>47000</v>
      </c>
      <c r="Q354" s="25">
        <f t="shared" si="393"/>
        <v>70000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 t="s">
        <v>873</v>
      </c>
      <c r="B355" s="1">
        <f t="shared" si="331"/>
        <v>66</v>
      </c>
      <c r="C355" s="1">
        <f t="shared" si="332"/>
        <v>5</v>
      </c>
      <c r="D355" s="1" t="s">
        <v>60</v>
      </c>
      <c r="E355" s="1" t="s">
        <v>875</v>
      </c>
      <c r="F355" s="1" t="s">
        <v>875</v>
      </c>
      <c r="G355" s="1" t="s">
        <v>983</v>
      </c>
      <c r="H355" s="1"/>
      <c r="I355" s="25">
        <v>75000.0</v>
      </c>
      <c r="J355" s="25">
        <v>90000.0</v>
      </c>
      <c r="K355" s="5">
        <f t="shared" si="312"/>
        <v>16.66666667</v>
      </c>
      <c r="L355" s="25">
        <f t="shared" si="313"/>
        <v>15000</v>
      </c>
      <c r="M355" s="1" t="s">
        <v>398</v>
      </c>
      <c r="N355" s="25">
        <v>75000.0</v>
      </c>
      <c r="O355" s="25">
        <v>90000.0</v>
      </c>
      <c r="P355" s="25">
        <f t="shared" si="392"/>
        <v>75000</v>
      </c>
      <c r="Q355" s="25">
        <f t="shared" si="393"/>
        <v>90000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 t="s">
        <v>873</v>
      </c>
      <c r="B356" s="1">
        <f t="shared" si="331"/>
        <v>67</v>
      </c>
      <c r="C356" s="1">
        <f t="shared" si="332"/>
        <v>5</v>
      </c>
      <c r="D356" s="1" t="s">
        <v>90</v>
      </c>
      <c r="E356" s="1" t="s">
        <v>875</v>
      </c>
      <c r="F356" s="1" t="s">
        <v>875</v>
      </c>
      <c r="G356" s="1" t="s">
        <v>984</v>
      </c>
      <c r="H356" s="1"/>
      <c r="I356" s="25">
        <v>7500.0</v>
      </c>
      <c r="J356" s="25">
        <v>15000.0</v>
      </c>
      <c r="K356" s="5">
        <f t="shared" si="312"/>
        <v>50</v>
      </c>
      <c r="L356" s="25">
        <f t="shared" si="313"/>
        <v>7500</v>
      </c>
      <c r="M356" s="1" t="s">
        <v>398</v>
      </c>
      <c r="N356" s="25">
        <v>7500.0</v>
      </c>
      <c r="O356" s="25">
        <v>15000.0</v>
      </c>
      <c r="P356" s="25">
        <f t="shared" si="392"/>
        <v>7500</v>
      </c>
      <c r="Q356" s="25">
        <f t="shared" si="393"/>
        <v>15000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 t="s">
        <v>873</v>
      </c>
      <c r="B357" s="1">
        <f t="shared" si="331"/>
        <v>68</v>
      </c>
      <c r="C357" s="1">
        <f t="shared" si="332"/>
        <v>5</v>
      </c>
      <c r="D357" s="1" t="s">
        <v>59</v>
      </c>
      <c r="E357" s="1" t="s">
        <v>875</v>
      </c>
      <c r="F357" s="1" t="s">
        <v>875</v>
      </c>
      <c r="G357" s="1" t="s">
        <v>985</v>
      </c>
      <c r="H357" s="1"/>
      <c r="I357" s="25">
        <v>6000.0</v>
      </c>
      <c r="J357" s="25">
        <v>9000.0</v>
      </c>
      <c r="K357" s="5">
        <f t="shared" si="312"/>
        <v>33.33333333</v>
      </c>
      <c r="L357" s="25">
        <f t="shared" si="313"/>
        <v>3000</v>
      </c>
      <c r="M357" s="1"/>
      <c r="N357" s="25">
        <v>6000.0</v>
      </c>
      <c r="O357" s="25">
        <v>9000.0</v>
      </c>
      <c r="P357" s="25">
        <f t="shared" si="392"/>
        <v>6000</v>
      </c>
      <c r="Q357" s="25">
        <f t="shared" si="393"/>
        <v>9000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 t="s">
        <v>873</v>
      </c>
      <c r="B358" s="1">
        <f t="shared" si="331"/>
        <v>69</v>
      </c>
      <c r="C358" s="1">
        <f t="shared" si="332"/>
        <v>5</v>
      </c>
      <c r="D358" s="1" t="s">
        <v>27</v>
      </c>
      <c r="E358" s="1" t="s">
        <v>875</v>
      </c>
      <c r="F358" s="1" t="s">
        <v>875</v>
      </c>
      <c r="G358" s="1" t="s">
        <v>986</v>
      </c>
      <c r="H358" s="1"/>
      <c r="I358" s="25">
        <v>16200.0</v>
      </c>
      <c r="J358" s="25">
        <v>35000.0</v>
      </c>
      <c r="K358" s="5">
        <f t="shared" si="312"/>
        <v>53.71428571</v>
      </c>
      <c r="L358" s="25">
        <f t="shared" si="313"/>
        <v>18800</v>
      </c>
      <c r="M358" s="1" t="s">
        <v>381</v>
      </c>
      <c r="N358" s="25">
        <v>16200.0</v>
      </c>
      <c r="O358" s="25">
        <v>35000.0</v>
      </c>
      <c r="P358" s="25">
        <f t="shared" si="392"/>
        <v>16200</v>
      </c>
      <c r="Q358" s="25">
        <f t="shared" si="393"/>
        <v>35000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 t="s">
        <v>873</v>
      </c>
      <c r="B359" s="1">
        <f t="shared" si="331"/>
        <v>70</v>
      </c>
      <c r="C359" s="1">
        <f t="shared" si="332"/>
        <v>5</v>
      </c>
      <c r="D359" s="1" t="s">
        <v>213</v>
      </c>
      <c r="E359" s="1" t="s">
        <v>875</v>
      </c>
      <c r="F359" s="1" t="s">
        <v>875</v>
      </c>
      <c r="G359" s="1" t="s">
        <v>987</v>
      </c>
      <c r="H359" s="1"/>
      <c r="I359" s="25">
        <v>9300.0</v>
      </c>
      <c r="J359" s="25">
        <v>20000.0</v>
      </c>
      <c r="K359" s="5">
        <f t="shared" si="312"/>
        <v>53.5</v>
      </c>
      <c r="L359" s="25">
        <f t="shared" si="313"/>
        <v>10700</v>
      </c>
      <c r="M359" s="1" t="s">
        <v>381</v>
      </c>
      <c r="N359" s="25">
        <v>9300.0</v>
      </c>
      <c r="O359" s="25">
        <v>20000.0</v>
      </c>
      <c r="P359" s="25">
        <f t="shared" si="392"/>
        <v>9300</v>
      </c>
      <c r="Q359" s="25">
        <f t="shared" si="393"/>
        <v>20000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 t="s">
        <v>873</v>
      </c>
      <c r="B360" s="1">
        <f t="shared" si="331"/>
        <v>71</v>
      </c>
      <c r="C360" s="1">
        <f t="shared" si="332"/>
        <v>5</v>
      </c>
      <c r="D360" s="1" t="s">
        <v>165</v>
      </c>
      <c r="E360" s="1" t="s">
        <v>875</v>
      </c>
      <c r="F360" s="1" t="s">
        <v>875</v>
      </c>
      <c r="G360" s="1" t="s">
        <v>988</v>
      </c>
      <c r="H360" s="1"/>
      <c r="I360" s="25">
        <v>30000.0</v>
      </c>
      <c r="J360" s="25">
        <v>50000.0</v>
      </c>
      <c r="K360" s="5">
        <f t="shared" si="312"/>
        <v>40</v>
      </c>
      <c r="L360" s="25">
        <f t="shared" si="313"/>
        <v>20000</v>
      </c>
      <c r="M360" s="1"/>
      <c r="N360" s="25">
        <f>I360</f>
        <v>30000</v>
      </c>
      <c r="O360" s="25">
        <v>50000.0</v>
      </c>
      <c r="P360" s="25">
        <f t="shared" si="392"/>
        <v>30000</v>
      </c>
      <c r="Q360" s="25">
        <f t="shared" si="393"/>
        <v>50000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 t="s">
        <v>873</v>
      </c>
      <c r="B361" s="1">
        <f t="shared" si="331"/>
        <v>72</v>
      </c>
      <c r="C361" s="1">
        <f t="shared" si="332"/>
        <v>5</v>
      </c>
      <c r="D361" s="1" t="s">
        <v>73</v>
      </c>
      <c r="E361" s="1" t="s">
        <v>875</v>
      </c>
      <c r="F361" s="1" t="s">
        <v>875</v>
      </c>
      <c r="G361" s="1" t="s">
        <v>989</v>
      </c>
      <c r="H361" s="1"/>
      <c r="I361" s="25">
        <v>25000.0</v>
      </c>
      <c r="J361" s="25">
        <v>50000.0</v>
      </c>
      <c r="K361" s="5">
        <f t="shared" si="312"/>
        <v>50</v>
      </c>
      <c r="L361" s="25">
        <f t="shared" si="313"/>
        <v>25000</v>
      </c>
      <c r="M361" s="1" t="s">
        <v>381</v>
      </c>
      <c r="N361" s="25">
        <v>25000.0</v>
      </c>
      <c r="O361" s="25">
        <v>50000.0</v>
      </c>
      <c r="P361" s="25">
        <f t="shared" si="392"/>
        <v>25000</v>
      </c>
      <c r="Q361" s="25">
        <f t="shared" si="393"/>
        <v>50000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 t="s">
        <v>873</v>
      </c>
      <c r="B362" s="1">
        <f t="shared" si="331"/>
        <v>73</v>
      </c>
      <c r="C362" s="1">
        <f t="shared" si="332"/>
        <v>5</v>
      </c>
      <c r="D362" s="1" t="s">
        <v>990</v>
      </c>
      <c r="E362" s="1" t="s">
        <v>875</v>
      </c>
      <c r="F362" s="1" t="s">
        <v>875</v>
      </c>
      <c r="G362" s="1" t="s">
        <v>991</v>
      </c>
      <c r="H362" s="1"/>
      <c r="I362" s="25">
        <v>70000.0</v>
      </c>
      <c r="J362" s="25">
        <v>180000.0</v>
      </c>
      <c r="K362" s="5">
        <f t="shared" si="312"/>
        <v>61.11111111</v>
      </c>
      <c r="L362" s="25">
        <f t="shared" si="313"/>
        <v>110000</v>
      </c>
      <c r="M362" s="1"/>
      <c r="N362" s="25">
        <f t="shared" ref="N362:N364" si="410">I362</f>
        <v>70000</v>
      </c>
      <c r="O362" s="25">
        <v>180000.0</v>
      </c>
      <c r="P362" s="25">
        <f t="shared" si="392"/>
        <v>70000</v>
      </c>
      <c r="Q362" s="25">
        <f t="shared" si="393"/>
        <v>180000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 t="s">
        <v>873</v>
      </c>
      <c r="B363" s="1">
        <f t="shared" si="331"/>
        <v>74</v>
      </c>
      <c r="C363" s="1">
        <f t="shared" si="332"/>
        <v>5</v>
      </c>
      <c r="D363" s="1" t="s">
        <v>143</v>
      </c>
      <c r="E363" s="1" t="s">
        <v>875</v>
      </c>
      <c r="F363" s="1" t="s">
        <v>875</v>
      </c>
      <c r="G363" s="1" t="s">
        <v>992</v>
      </c>
      <c r="H363" s="1"/>
      <c r="I363" s="25"/>
      <c r="J363" s="25">
        <v>25000.0</v>
      </c>
      <c r="K363" s="5">
        <f t="shared" si="312"/>
        <v>100</v>
      </c>
      <c r="L363" s="25">
        <f t="shared" si="313"/>
        <v>25000</v>
      </c>
      <c r="M363" s="1" t="s">
        <v>381</v>
      </c>
      <c r="N363" s="25" t="str">
        <f t="shared" si="410"/>
        <v/>
      </c>
      <c r="O363" s="25">
        <f t="shared" ref="O363:O364" si="411">J363</f>
        <v>25000</v>
      </c>
      <c r="P363" s="25" t="str">
        <f t="shared" si="392"/>
        <v/>
      </c>
      <c r="Q363" s="25">
        <f t="shared" si="393"/>
        <v>25000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 t="s">
        <v>873</v>
      </c>
      <c r="B364" s="1">
        <f t="shared" si="331"/>
        <v>75</v>
      </c>
      <c r="C364" s="1">
        <f t="shared" si="332"/>
        <v>5</v>
      </c>
      <c r="D364" s="1" t="s">
        <v>993</v>
      </c>
      <c r="E364" s="1" t="s">
        <v>875</v>
      </c>
      <c r="F364" s="1" t="s">
        <v>875</v>
      </c>
      <c r="G364" s="35" t="s">
        <v>994</v>
      </c>
      <c r="H364" s="1"/>
      <c r="I364" s="25">
        <v>30000.0</v>
      </c>
      <c r="J364" s="25">
        <v>45000.0</v>
      </c>
      <c r="K364" s="5">
        <f t="shared" si="312"/>
        <v>33.33333333</v>
      </c>
      <c r="L364" s="25">
        <f t="shared" si="313"/>
        <v>15000</v>
      </c>
      <c r="M364" s="1" t="s">
        <v>591</v>
      </c>
      <c r="N364" s="25">
        <f t="shared" si="410"/>
        <v>30000</v>
      </c>
      <c r="O364" s="25">
        <f t="shared" si="411"/>
        <v>45000</v>
      </c>
      <c r="P364" s="25">
        <f t="shared" si="392"/>
        <v>30000</v>
      </c>
      <c r="Q364" s="25">
        <f t="shared" si="393"/>
        <v>45000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25"/>
      <c r="J365" s="25"/>
      <c r="K365" s="26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25"/>
      <c r="J366" s="25"/>
      <c r="K366" s="26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25"/>
      <c r="J367" s="25"/>
      <c r="K367" s="26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25"/>
      <c r="J368" s="25"/>
      <c r="K368" s="26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25"/>
      <c r="J369" s="25"/>
      <c r="K369" s="26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25"/>
      <c r="J370" s="25"/>
      <c r="K370" s="26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25"/>
      <c r="J371" s="25"/>
      <c r="K371" s="26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25"/>
      <c r="J372" s="25"/>
      <c r="K372" s="26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25"/>
      <c r="J373" s="25"/>
      <c r="K373" s="26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25"/>
      <c r="J374" s="25"/>
      <c r="K374" s="26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25"/>
      <c r="J375" s="25"/>
      <c r="K375" s="26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25"/>
      <c r="J376" s="25"/>
      <c r="K376" s="26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25"/>
      <c r="J377" s="25"/>
      <c r="K377" s="26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25"/>
      <c r="J378" s="25"/>
      <c r="K378" s="26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25"/>
      <c r="J379" s="25"/>
      <c r="K379" s="26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25"/>
      <c r="J380" s="25"/>
      <c r="K380" s="26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25"/>
      <c r="J381" s="25"/>
      <c r="K381" s="26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25"/>
      <c r="J382" s="25"/>
      <c r="K382" s="26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25"/>
      <c r="J383" s="25"/>
      <c r="K383" s="26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25"/>
      <c r="J384" s="25"/>
      <c r="K384" s="26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25"/>
      <c r="J385" s="25"/>
      <c r="K385" s="26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25"/>
      <c r="J386" s="25"/>
      <c r="K386" s="26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25"/>
      <c r="J387" s="25"/>
      <c r="K387" s="26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25"/>
      <c r="J388" s="25"/>
      <c r="K388" s="26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25"/>
      <c r="J389" s="25"/>
      <c r="K389" s="26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25"/>
      <c r="J390" s="25"/>
      <c r="K390" s="26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25"/>
      <c r="J391" s="25"/>
      <c r="K391" s="2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25"/>
      <c r="J392" s="25"/>
      <c r="K392" s="26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25"/>
      <c r="J393" s="25"/>
      <c r="K393" s="2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25"/>
      <c r="J394" s="25"/>
      <c r="K394" s="26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25"/>
      <c r="J395" s="25"/>
      <c r="K395" s="26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25"/>
      <c r="J396" s="25"/>
      <c r="K396" s="26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25"/>
      <c r="J397" s="25"/>
      <c r="K397" s="2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25"/>
      <c r="J398" s="25"/>
      <c r="K398" s="26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25"/>
      <c r="J399" s="25"/>
      <c r="K399" s="26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25"/>
      <c r="J400" s="25"/>
      <c r="K400" s="26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25"/>
      <c r="J401" s="25"/>
      <c r="K401" s="2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25"/>
      <c r="J402" s="25"/>
      <c r="K402" s="26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25"/>
      <c r="J403" s="25"/>
      <c r="K403" s="26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25"/>
      <c r="J404" s="25"/>
      <c r="K404" s="26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25"/>
      <c r="J405" s="25"/>
      <c r="K405" s="2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25"/>
      <c r="J406" s="25"/>
      <c r="K406" s="2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25"/>
      <c r="J407" s="25"/>
      <c r="K407" s="26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25"/>
      <c r="J408" s="25"/>
      <c r="K408" s="26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25"/>
      <c r="J409" s="25"/>
      <c r="K409" s="2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25"/>
      <c r="J410" s="25"/>
      <c r="K410" s="26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25"/>
      <c r="J411" s="25"/>
      <c r="K411" s="26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25"/>
      <c r="J412" s="25"/>
      <c r="K412" s="26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25"/>
      <c r="J413" s="25"/>
      <c r="K413" s="2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25"/>
      <c r="J414" s="25"/>
      <c r="K414" s="2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25"/>
      <c r="J415" s="25"/>
      <c r="K415" s="2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25"/>
      <c r="J416" s="25"/>
      <c r="K416" s="2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25"/>
      <c r="J417" s="25"/>
      <c r="K417" s="2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25"/>
      <c r="J418" s="25"/>
      <c r="K418" s="2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25"/>
      <c r="J419" s="25"/>
      <c r="K419" s="2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25"/>
      <c r="J420" s="25"/>
      <c r="K420" s="2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25"/>
      <c r="J421" s="25"/>
      <c r="K421" s="2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25"/>
      <c r="J422" s="25"/>
      <c r="K422" s="2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25"/>
      <c r="J423" s="25"/>
      <c r="K423" s="2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25"/>
      <c r="J424" s="25"/>
      <c r="K424" s="2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25"/>
      <c r="J425" s="25"/>
      <c r="K425" s="2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25"/>
      <c r="J426" s="25"/>
      <c r="K426" s="2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25"/>
      <c r="J427" s="25"/>
      <c r="K427" s="2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25"/>
      <c r="J428" s="25"/>
      <c r="K428" s="2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25"/>
      <c r="J429" s="25"/>
      <c r="K429" s="2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25"/>
      <c r="J430" s="25"/>
      <c r="K430" s="2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25"/>
      <c r="J431" s="25"/>
      <c r="K431" s="2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25"/>
      <c r="J432" s="25"/>
      <c r="K432" s="2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25"/>
      <c r="J433" s="25"/>
      <c r="K433" s="2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25"/>
      <c r="J434" s="25"/>
      <c r="K434" s="2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25"/>
      <c r="J435" s="25"/>
      <c r="K435" s="2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25"/>
      <c r="J436" s="25"/>
      <c r="K436" s="2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25"/>
      <c r="J437" s="25"/>
      <c r="K437" s="2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25"/>
      <c r="J438" s="25"/>
      <c r="K438" s="2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25"/>
      <c r="J439" s="25"/>
      <c r="K439" s="2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25"/>
      <c r="J440" s="25"/>
      <c r="K440" s="2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25"/>
      <c r="J441" s="25"/>
      <c r="K441" s="2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25"/>
      <c r="J442" s="25"/>
      <c r="K442" s="2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25"/>
      <c r="J443" s="25"/>
      <c r="K443" s="2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25"/>
      <c r="J444" s="25"/>
      <c r="K444" s="2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25"/>
      <c r="J445" s="25"/>
      <c r="K445" s="2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25"/>
      <c r="J446" s="25"/>
      <c r="K446" s="2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25"/>
      <c r="J447" s="25"/>
      <c r="K447" s="2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25"/>
      <c r="J448" s="25"/>
      <c r="K448" s="2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25"/>
      <c r="J449" s="25"/>
      <c r="K449" s="2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25"/>
      <c r="J450" s="25"/>
      <c r="K450" s="2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25"/>
      <c r="J451" s="25"/>
      <c r="K451" s="2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25"/>
      <c r="J452" s="25"/>
      <c r="K452" s="2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25"/>
      <c r="J453" s="25"/>
      <c r="K453" s="2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25"/>
      <c r="J454" s="25"/>
      <c r="K454" s="2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25"/>
      <c r="J455" s="25"/>
      <c r="K455" s="2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25"/>
      <c r="J456" s="25"/>
      <c r="K456" s="2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25"/>
      <c r="J457" s="25"/>
      <c r="K457" s="2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25"/>
      <c r="J458" s="25"/>
      <c r="K458" s="2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25"/>
      <c r="J459" s="25"/>
      <c r="K459" s="2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25"/>
      <c r="J460" s="25"/>
      <c r="K460" s="2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25"/>
      <c r="J461" s="25"/>
      <c r="K461" s="2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25"/>
      <c r="J462" s="25"/>
      <c r="K462" s="2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25"/>
      <c r="J463" s="25"/>
      <c r="K463" s="2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25"/>
      <c r="J464" s="25"/>
      <c r="K464" s="2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25"/>
      <c r="J465" s="25"/>
      <c r="K465" s="2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25"/>
      <c r="J466" s="25"/>
      <c r="K466" s="2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25"/>
      <c r="J467" s="25"/>
      <c r="K467" s="2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25"/>
      <c r="J468" s="25"/>
      <c r="K468" s="2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25"/>
      <c r="J469" s="25"/>
      <c r="K469" s="2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25"/>
      <c r="J470" s="25"/>
      <c r="K470" s="2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25"/>
      <c r="J471" s="25"/>
      <c r="K471" s="2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25"/>
      <c r="J472" s="25"/>
      <c r="K472" s="2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25"/>
      <c r="J473" s="25"/>
      <c r="K473" s="2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25"/>
      <c r="J474" s="25"/>
      <c r="K474" s="2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25"/>
      <c r="J475" s="25"/>
      <c r="K475" s="2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25"/>
      <c r="J476" s="25"/>
      <c r="K476" s="2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25"/>
      <c r="J477" s="25"/>
      <c r="K477" s="2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25"/>
      <c r="J478" s="25"/>
      <c r="K478" s="2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25"/>
      <c r="J479" s="25"/>
      <c r="K479" s="2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25"/>
      <c r="J480" s="25"/>
      <c r="K480" s="2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25"/>
      <c r="J481" s="25"/>
      <c r="K481" s="2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25"/>
      <c r="J482" s="25"/>
      <c r="K482" s="2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25"/>
      <c r="J483" s="25"/>
      <c r="K483" s="2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25"/>
      <c r="J484" s="25"/>
      <c r="K484" s="2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25"/>
      <c r="J485" s="25"/>
      <c r="K485" s="2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25"/>
      <c r="J486" s="25"/>
      <c r="K486" s="2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25"/>
      <c r="J487" s="25"/>
      <c r="K487" s="2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25"/>
      <c r="J488" s="25"/>
      <c r="K488" s="2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25"/>
      <c r="J489" s="25"/>
      <c r="K489" s="2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25"/>
      <c r="J490" s="25"/>
      <c r="K490" s="2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25"/>
      <c r="J491" s="25"/>
      <c r="K491" s="2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25"/>
      <c r="J492" s="25"/>
      <c r="K492" s="2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25"/>
      <c r="J493" s="25"/>
      <c r="K493" s="2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25"/>
      <c r="J494" s="25"/>
      <c r="K494" s="2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25"/>
      <c r="J495" s="25"/>
      <c r="K495" s="2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25"/>
      <c r="J496" s="25"/>
      <c r="K496" s="2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25"/>
      <c r="J497" s="25"/>
      <c r="K497" s="2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25"/>
      <c r="J498" s="25"/>
      <c r="K498" s="2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25"/>
      <c r="J499" s="25"/>
      <c r="K499" s="2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25"/>
      <c r="J500" s="25"/>
      <c r="K500" s="2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25"/>
      <c r="J501" s="25"/>
      <c r="K501" s="2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25"/>
      <c r="J502" s="25"/>
      <c r="K502" s="2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25"/>
      <c r="J503" s="25"/>
      <c r="K503" s="2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25"/>
      <c r="J504" s="25"/>
      <c r="K504" s="2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25"/>
      <c r="J505" s="25"/>
      <c r="K505" s="2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25"/>
      <c r="J506" s="25"/>
      <c r="K506" s="2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25"/>
      <c r="J507" s="25"/>
      <c r="K507" s="2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25"/>
      <c r="J508" s="25"/>
      <c r="K508" s="2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25"/>
      <c r="J509" s="25"/>
      <c r="K509" s="2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25"/>
      <c r="J510" s="25"/>
      <c r="K510" s="2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25"/>
      <c r="J511" s="25"/>
      <c r="K511" s="2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25"/>
      <c r="J512" s="25"/>
      <c r="K512" s="2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25"/>
      <c r="J513" s="25"/>
      <c r="K513" s="2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25"/>
      <c r="J514" s="25"/>
      <c r="K514" s="2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25"/>
      <c r="J515" s="25"/>
      <c r="K515" s="2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25"/>
      <c r="J516" s="25"/>
      <c r="K516" s="2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25"/>
      <c r="J517" s="25"/>
      <c r="K517" s="2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25"/>
      <c r="J518" s="25"/>
      <c r="K518" s="2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25"/>
      <c r="J519" s="25"/>
      <c r="K519" s="2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25"/>
      <c r="J520" s="25"/>
      <c r="K520" s="2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25"/>
      <c r="J521" s="25"/>
      <c r="K521" s="2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25"/>
      <c r="J522" s="25"/>
      <c r="K522" s="2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25"/>
      <c r="J523" s="25"/>
      <c r="K523" s="2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25"/>
      <c r="J524" s="25"/>
      <c r="K524" s="2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25"/>
      <c r="J525" s="25"/>
      <c r="K525" s="2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25"/>
      <c r="J526" s="25"/>
      <c r="K526" s="2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25"/>
      <c r="J527" s="25"/>
      <c r="K527" s="2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25"/>
      <c r="J528" s="25"/>
      <c r="K528" s="2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25"/>
      <c r="J529" s="25"/>
      <c r="K529" s="2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25"/>
      <c r="J530" s="25"/>
      <c r="K530" s="2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25"/>
      <c r="J531" s="25"/>
      <c r="K531" s="2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25"/>
      <c r="J532" s="25"/>
      <c r="K532" s="2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25"/>
      <c r="J533" s="25"/>
      <c r="K533" s="2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25"/>
      <c r="J534" s="25"/>
      <c r="K534" s="2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25"/>
      <c r="J535" s="25"/>
      <c r="K535" s="2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25"/>
      <c r="J536" s="25"/>
      <c r="K536" s="2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25"/>
      <c r="J537" s="25"/>
      <c r="K537" s="2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25"/>
      <c r="J538" s="25"/>
      <c r="K538" s="2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25"/>
      <c r="J539" s="25"/>
      <c r="K539" s="2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25"/>
      <c r="J540" s="25"/>
      <c r="K540" s="2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25"/>
      <c r="J541" s="25"/>
      <c r="K541" s="2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25"/>
      <c r="J542" s="25"/>
      <c r="K542" s="2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25"/>
      <c r="J543" s="25"/>
      <c r="K543" s="2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25"/>
      <c r="J544" s="25"/>
      <c r="K544" s="2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25"/>
      <c r="J545" s="25"/>
      <c r="K545" s="2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25"/>
      <c r="J546" s="25"/>
      <c r="K546" s="2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25"/>
      <c r="J547" s="25"/>
      <c r="K547" s="2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25"/>
      <c r="J548" s="25"/>
      <c r="K548" s="2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25"/>
      <c r="J549" s="25"/>
      <c r="K549" s="2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25"/>
      <c r="J550" s="25"/>
      <c r="K550" s="2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25"/>
      <c r="J551" s="25"/>
      <c r="K551" s="2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25"/>
      <c r="J552" s="25"/>
      <c r="K552" s="2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25"/>
      <c r="J553" s="25"/>
      <c r="K553" s="2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25"/>
      <c r="J554" s="25"/>
      <c r="K554" s="2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25"/>
      <c r="J555" s="25"/>
      <c r="K555" s="2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25"/>
      <c r="J556" s="25"/>
      <c r="K556" s="2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25"/>
      <c r="J557" s="25"/>
      <c r="K557" s="2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25"/>
      <c r="J558" s="25"/>
      <c r="K558" s="2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25"/>
      <c r="J559" s="25"/>
      <c r="K559" s="2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25"/>
      <c r="J560" s="25"/>
      <c r="K560" s="2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25"/>
      <c r="J561" s="25"/>
      <c r="K561" s="2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25"/>
      <c r="J562" s="25"/>
      <c r="K562" s="2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25"/>
      <c r="J563" s="25"/>
      <c r="K563" s="2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25"/>
      <c r="J564" s="25"/>
      <c r="K564" s="2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$A$4:$AC$4">
    <sortState ref="A4:AC4">
      <sortCondition ref="E4"/>
      <sortCondition ref="F4"/>
      <sortCondition ref="G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sheetData>
    <row r="1" ht="15.75" customHeight="1">
      <c r="A1" s="1"/>
      <c r="B1" s="25"/>
      <c r="C1" s="25"/>
      <c r="D1" s="25"/>
      <c r="E1" s="25"/>
      <c r="F1" s="32"/>
      <c r="G1" s="32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7" t="s">
        <v>995</v>
      </c>
      <c r="B2" s="7"/>
      <c r="C2" s="25"/>
      <c r="D2" s="25"/>
      <c r="E2" s="25"/>
      <c r="F2" s="32"/>
      <c r="G2" s="32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5"/>
      <c r="C3" s="25"/>
      <c r="D3" s="25"/>
      <c r="E3" s="25"/>
      <c r="F3" s="32"/>
      <c r="G3" s="32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38" t="s">
        <v>1</v>
      </c>
      <c r="B4" s="39" t="s">
        <v>996</v>
      </c>
      <c r="C4" s="39" t="s">
        <v>13</v>
      </c>
      <c r="D4" s="39" t="s">
        <v>997</v>
      </c>
      <c r="E4" s="39" t="s">
        <v>998</v>
      </c>
      <c r="F4" s="39" t="s">
        <v>999</v>
      </c>
      <c r="G4" s="39" t="s">
        <v>1000</v>
      </c>
      <c r="H4" s="38" t="s">
        <v>1001</v>
      </c>
      <c r="I4" s="1" t="s">
        <v>1002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hidden="1" customHeight="1">
      <c r="A5" s="2"/>
      <c r="B5" s="25"/>
      <c r="C5" s="40"/>
      <c r="D5" s="40" t="s">
        <v>19</v>
      </c>
      <c r="E5" s="40" t="s">
        <v>77</v>
      </c>
      <c r="F5" s="32" t="s">
        <v>28</v>
      </c>
      <c r="G5" s="32" t="s">
        <v>23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3" t="s">
        <v>16</v>
      </c>
      <c r="B6" s="25">
        <f>SUMIF('Daily Sales'!A:L,A6,'Daily Sales'!L:L)</f>
        <v>366000</v>
      </c>
      <c r="C6" s="25">
        <f>SUMIF('Daily Sales'!A:N,A6,'Daily Sales'!N:N)</f>
        <v>156490</v>
      </c>
      <c r="D6" s="25">
        <f>SUMIF('Daily Sales'!G:L,$D$5&amp;A6,'Daily Sales'!L:L)</f>
        <v>276000</v>
      </c>
      <c r="E6" s="25">
        <f>SUMIF('Daily Sales'!G:L,$E$5&amp;A6,'Daily Sales'!L:L)</f>
        <v>0</v>
      </c>
      <c r="F6" s="32">
        <f>SUMIF('Daily Sales'!G:L,$F$5&amp;A6,'Daily Sales'!L:L)</f>
        <v>80000</v>
      </c>
      <c r="G6" s="32">
        <f>SUMIF('Daily Sales'!G:L,$G$5&amp;A6,'Daily Sales'!L:L)</f>
        <v>10000</v>
      </c>
      <c r="H6" s="4">
        <f>SUMIF('Daily Sales'!A:D,A6,'Daily Sales'!D:D)</f>
        <v>14</v>
      </c>
      <c r="I6" s="1">
        <f>SUMIF('Daily Sales'!F:F,A6&amp;$I$4,'Daily Sales'!I:I)</f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3" t="s">
        <v>49</v>
      </c>
      <c r="B7" s="25">
        <f>SUMIF('Daily Sales'!A:L,A7,'Daily Sales'!L:L)</f>
        <v>400250</v>
      </c>
      <c r="C7" s="25">
        <f>SUMIF('Daily Sales'!A:N,A7,'Daily Sales'!N:N)</f>
        <v>107630</v>
      </c>
      <c r="D7" s="25">
        <f>SUMIF('Daily Sales'!G:L,$D$5&amp;A7,'Daily Sales'!L:L)</f>
        <v>109000</v>
      </c>
      <c r="E7" s="25">
        <f>SUMIF('Daily Sales'!G:L,$E$5&amp;A7,'Daily Sales'!L:L)</f>
        <v>0</v>
      </c>
      <c r="F7" s="32">
        <f>SUMIF('Daily Sales'!G:L,$F$5&amp;A7,'Daily Sales'!L:L)</f>
        <v>213250</v>
      </c>
      <c r="G7" s="32">
        <f>SUMIF('Daily Sales'!G:L,$G$5&amp;A7,'Daily Sales'!L:L)</f>
        <v>78000</v>
      </c>
      <c r="H7" s="4">
        <f>SUMIF('Daily Sales'!A:D,A7,'Daily Sales'!D:D)</f>
        <v>9</v>
      </c>
      <c r="I7" s="1">
        <f>SUMIF('Daily Sales'!F:F,A7&amp;$I$4,'Daily Sales'!I:I)</f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3" t="s">
        <v>64</v>
      </c>
      <c r="B8" s="25">
        <f>SUMIF('Daily Sales'!A:L,A8,'Daily Sales'!L:L)</f>
        <v>370000</v>
      </c>
      <c r="C8" s="25">
        <f>SUMIF('Daily Sales'!A:N,A8,'Daily Sales'!N:N)</f>
        <v>161722</v>
      </c>
      <c r="D8" s="25">
        <f>SUMIF('Daily Sales'!G:L,$D$5&amp;A8,'Daily Sales'!L:L)</f>
        <v>120000</v>
      </c>
      <c r="E8" s="25">
        <f>SUMIF('Daily Sales'!G:L,$E$5&amp;A8,'Daily Sales'!L:L)</f>
        <v>50000</v>
      </c>
      <c r="F8" s="32">
        <f>SUMIF('Daily Sales'!G:L,$F$5&amp;A8,'Daily Sales'!L:L)</f>
        <v>128000</v>
      </c>
      <c r="G8" s="32">
        <f>SUMIF('Daily Sales'!G:L,$G$5&amp;A8,'Daily Sales'!L:L)</f>
        <v>72000</v>
      </c>
      <c r="H8" s="4">
        <f>SUMIF('Daily Sales'!A:D,A8,'Daily Sales'!D:D)</f>
        <v>12</v>
      </c>
      <c r="I8" s="1">
        <f>SUMIF('Daily Sales'!F:F,A8&amp;$I$4,'Daily Sales'!I:I)</f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3" t="s">
        <v>83</v>
      </c>
      <c r="B9" s="25">
        <f>SUMIF('Daily Sales'!A:L,A9,'Daily Sales'!L:L)</f>
        <v>478500</v>
      </c>
      <c r="C9" s="25">
        <f>SUMIF('Daily Sales'!A:N,A9,'Daily Sales'!N:N)</f>
        <v>169028</v>
      </c>
      <c r="D9" s="25">
        <f>SUMIF('Daily Sales'!G:L,$D$5&amp;A9,'Daily Sales'!L:L)</f>
        <v>308000</v>
      </c>
      <c r="E9" s="25">
        <f>SUMIF('Daily Sales'!G:L,$E$5&amp;A9,'Daily Sales'!L:L)</f>
        <v>60000</v>
      </c>
      <c r="F9" s="32">
        <f>SUMIF('Daily Sales'!G:L,$F$5&amp;A9,'Daily Sales'!L:L)</f>
        <v>75500</v>
      </c>
      <c r="G9" s="32">
        <f>SUMIF('Daily Sales'!G:L,$G$5&amp;A9,'Daily Sales'!L:L)</f>
        <v>35000</v>
      </c>
      <c r="H9" s="4">
        <f>SUMIF('Daily Sales'!A:D,A9,'Daily Sales'!D:D)</f>
        <v>12</v>
      </c>
      <c r="I9" s="1">
        <f>SUMIF('Daily Sales'!F:F,A9&amp;$I$4,'Daily Sales'!I:I)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3" t="s">
        <v>103</v>
      </c>
      <c r="B10" s="25">
        <f>SUMIF('Daily Sales'!A:L,A10,'Daily Sales'!L:L)</f>
        <v>388750</v>
      </c>
      <c r="C10" s="25">
        <f>SUMIF('Daily Sales'!A:N,A10,'Daily Sales'!N:N)</f>
        <v>139840</v>
      </c>
      <c r="D10" s="25">
        <f>SUMIF('Daily Sales'!G:L,$D$5&amp;A10,'Daily Sales'!L:L)</f>
        <v>202000</v>
      </c>
      <c r="E10" s="25">
        <f>SUMIF('Daily Sales'!G:L,$E$5&amp;A10,'Daily Sales'!L:L)</f>
        <v>48000</v>
      </c>
      <c r="F10" s="32">
        <f>SUMIF('Daily Sales'!G:L,$F$5&amp;A10,'Daily Sales'!L:L)</f>
        <v>138750</v>
      </c>
      <c r="G10" s="32">
        <f>SUMIF('Daily Sales'!G:L,$G$5&amp;A10,'Daily Sales'!L:L)</f>
        <v>0</v>
      </c>
      <c r="H10" s="4">
        <f>SUMIF('Daily Sales'!A:D,A10,'Daily Sales'!D:D)</f>
        <v>10</v>
      </c>
      <c r="I10" s="1">
        <f>SUMIF('Daily Sales'!F:F,A10&amp;$I$4,'Daily Sales'!I:I)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3" t="s">
        <v>118</v>
      </c>
      <c r="B11" s="25">
        <f>SUMIF('Daily Sales'!A:L,A11,'Daily Sales'!L:L)</f>
        <v>569750</v>
      </c>
      <c r="C11" s="25">
        <f>SUMIF('Daily Sales'!A:N,A11,'Daily Sales'!N:N)</f>
        <v>215172</v>
      </c>
      <c r="D11" s="25">
        <f>SUMIF('Daily Sales'!G:L,$D$5&amp;A11,'Daily Sales'!L:L)</f>
        <v>245000</v>
      </c>
      <c r="E11" s="25">
        <f>SUMIF('Daily Sales'!G:L,$E$5&amp;A11,'Daily Sales'!L:L)</f>
        <v>35000</v>
      </c>
      <c r="F11" s="32">
        <f>SUMIF('Daily Sales'!G:L,$F$5&amp;A11,'Daily Sales'!L:L)</f>
        <v>279750</v>
      </c>
      <c r="G11" s="32">
        <f>SUMIF('Daily Sales'!G:L,$G$5&amp;A11,'Daily Sales'!L:L)</f>
        <v>10000</v>
      </c>
      <c r="H11" s="4">
        <f>SUMIF('Daily Sales'!A:D,A11,'Daily Sales'!D:D)</f>
        <v>13</v>
      </c>
      <c r="I11" s="1">
        <f>SUMIF('Daily Sales'!F:F,A11&amp;$I$4,'Daily Sales'!I:I)</f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3" t="s">
        <v>133</v>
      </c>
      <c r="B12" s="25">
        <f>SUMIF('Daily Sales'!A:L,A12,'Daily Sales'!L:L)</f>
        <v>603250</v>
      </c>
      <c r="C12" s="25">
        <f>SUMIF('Daily Sales'!A:N,A12,'Daily Sales'!N:N)</f>
        <v>337430</v>
      </c>
      <c r="D12" s="25">
        <f>SUMIF('Daily Sales'!G:L,$D$5&amp;A12,'Daily Sales'!L:L)</f>
        <v>552000</v>
      </c>
      <c r="E12" s="25">
        <f>SUMIF('Daily Sales'!G:L,$E$5&amp;A12,'Daily Sales'!L:L)</f>
        <v>13000</v>
      </c>
      <c r="F12" s="32">
        <f>SUMIF('Daily Sales'!G:L,$F$5&amp;A12,'Daily Sales'!L:L)</f>
        <v>38250</v>
      </c>
      <c r="G12" s="32">
        <f>SUMIF('Daily Sales'!G:L,$G$5&amp;A12,'Daily Sales'!L:L)</f>
        <v>0</v>
      </c>
      <c r="H12" s="4">
        <f>SUMIF('Daily Sales'!A:D,A12,'Daily Sales'!D:D)</f>
        <v>13</v>
      </c>
      <c r="I12" s="1">
        <f>SUMIF('Daily Sales'!F:F,A12&amp;$I$4,'Daily Sales'!I:I)</f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3" t="s">
        <v>153</v>
      </c>
      <c r="B13" s="25">
        <f>SUMIF('Daily Sales'!A:L,A13,'Daily Sales'!L:L)</f>
        <v>668250</v>
      </c>
      <c r="C13" s="25">
        <f>SUMIF('Daily Sales'!A:N,A13,'Daily Sales'!N:N)</f>
        <v>243133</v>
      </c>
      <c r="D13" s="25">
        <f>SUMIF('Daily Sales'!G:L,$D$5&amp;A13,'Daily Sales'!L:L)</f>
        <v>420000</v>
      </c>
      <c r="E13" s="25">
        <f>SUMIF('Daily Sales'!G:L,$E$5&amp;A13,'Daily Sales'!L:L)</f>
        <v>0</v>
      </c>
      <c r="F13" s="32">
        <f>SUMIF('Daily Sales'!G:L,$F$5&amp;A13,'Daily Sales'!L:L)</f>
        <v>33250</v>
      </c>
      <c r="G13" s="32">
        <f>SUMIF('Daily Sales'!G:L,$G$5&amp;A13,'Daily Sales'!L:L)</f>
        <v>215000</v>
      </c>
      <c r="H13" s="4">
        <f>SUMIF('Daily Sales'!A:D,A13,'Daily Sales'!D:D)</f>
        <v>11</v>
      </c>
      <c r="I13" s="1">
        <f>SUMIF('Daily Sales'!F:F,A13&amp;$I$4,'Daily Sales'!I:I)</f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3" t="s">
        <v>172</v>
      </c>
      <c r="B14" s="25">
        <f>SUMIF('Daily Sales'!A:L,A14,'Daily Sales'!L:L)</f>
        <v>551750</v>
      </c>
      <c r="C14" s="25">
        <f>SUMIF('Daily Sales'!A:N,A14,'Daily Sales'!N:N)</f>
        <v>174586</v>
      </c>
      <c r="D14" s="25">
        <f>SUMIF('Daily Sales'!G:L,$D$5&amp;A14,'Daily Sales'!L:L)</f>
        <v>230000</v>
      </c>
      <c r="E14" s="25">
        <f>SUMIF('Daily Sales'!G:L,$E$5&amp;A14,'Daily Sales'!L:L)</f>
        <v>0</v>
      </c>
      <c r="F14" s="32">
        <f>SUMIF('Daily Sales'!G:L,$F$5&amp;A14,'Daily Sales'!L:L)</f>
        <v>321750</v>
      </c>
      <c r="G14" s="32">
        <f>SUMIF('Daily Sales'!G:L,$G$5&amp;A14,'Daily Sales'!L:L)</f>
        <v>0</v>
      </c>
      <c r="H14" s="4">
        <f>SUMIF('Daily Sales'!A:D,A14,'Daily Sales'!D:D)</f>
        <v>9</v>
      </c>
      <c r="I14" s="1">
        <f>SUMIF('Daily Sales'!F:F,A14&amp;$I$4,'Daily Sales'!I:I)</f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3" t="s">
        <v>185</v>
      </c>
      <c r="B15" s="25">
        <f>SUMIF('Daily Sales'!A:L,A15,'Daily Sales'!L:L)</f>
        <v>594500</v>
      </c>
      <c r="C15" s="25">
        <f>SUMIF('Daily Sales'!A:N,A15,'Daily Sales'!N:N)</f>
        <v>211680</v>
      </c>
      <c r="D15" s="25">
        <f>SUMIF('Daily Sales'!G:L,$D$5&amp;A15,'Daily Sales'!L:L)</f>
        <v>386000</v>
      </c>
      <c r="E15" s="25">
        <f>SUMIF('Daily Sales'!G:L,$E$5&amp;A15,'Daily Sales'!L:L)</f>
        <v>131000</v>
      </c>
      <c r="F15" s="32">
        <f>SUMIF('Daily Sales'!G:L,$F$5&amp;A15,'Daily Sales'!L:L)</f>
        <v>57500</v>
      </c>
      <c r="G15" s="32">
        <f>SUMIF('Daily Sales'!G:L,$G$5&amp;A15,'Daily Sales'!L:L)</f>
        <v>20000</v>
      </c>
      <c r="H15" s="4">
        <f>SUMIF('Daily Sales'!A:D,A15,'Daily Sales'!D:D)</f>
        <v>12</v>
      </c>
      <c r="I15" s="1">
        <f>SUMIF('Daily Sales'!F:F,A15&amp;$I$4,'Daily Sales'!I:I)</f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3" t="s">
        <v>203</v>
      </c>
      <c r="B16" s="25">
        <f>SUMIF('Daily Sales'!A:L,A16,'Daily Sales'!L:L)</f>
        <v>563500</v>
      </c>
      <c r="C16" s="25">
        <f>SUMIF('Daily Sales'!A:N,A16,'Daily Sales'!N:N)</f>
        <v>175710</v>
      </c>
      <c r="D16" s="25">
        <f>SUMIF('Daily Sales'!G:L,$D$5&amp;A16,'Daily Sales'!L:L)</f>
        <v>324000</v>
      </c>
      <c r="E16" s="25">
        <f>SUMIF('Daily Sales'!G:L,$E$5&amp;A16,'Daily Sales'!L:L)</f>
        <v>0</v>
      </c>
      <c r="F16" s="32">
        <f>SUMIF('Daily Sales'!G:L,$F$5&amp;A16,'Daily Sales'!L:L)</f>
        <v>191500</v>
      </c>
      <c r="G16" s="32">
        <f>SUMIF('Daily Sales'!G:L,$G$5&amp;A16,'Daily Sales'!L:L)</f>
        <v>48000</v>
      </c>
      <c r="H16" s="4">
        <f>SUMIF('Daily Sales'!A:D,A16,'Daily Sales'!D:D)</f>
        <v>8</v>
      </c>
      <c r="I16" s="1">
        <f>SUMIF('Daily Sales'!F:F,A16&amp;$I$4,'Daily Sales'!I:I)</f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3" t="s">
        <v>216</v>
      </c>
      <c r="B17" s="25">
        <f>SUMIF('Daily Sales'!A:L,A17,'Daily Sales'!L:L)</f>
        <v>768000</v>
      </c>
      <c r="C17" s="25">
        <f>SUMIF('Daily Sales'!A:N,A17,'Daily Sales'!N:N)</f>
        <v>210500</v>
      </c>
      <c r="D17" s="25">
        <f>SUMIF('Daily Sales'!G:L,$D$5&amp;A17,'Daily Sales'!L:L)</f>
        <v>438000</v>
      </c>
      <c r="E17" s="25">
        <f>SUMIF('Daily Sales'!G:L,$E$5&amp;A17,'Daily Sales'!L:L)</f>
        <v>10000</v>
      </c>
      <c r="F17" s="32">
        <f>SUMIF('Daily Sales'!G:L,$F$5&amp;A17,'Daily Sales'!L:L)</f>
        <v>320000</v>
      </c>
      <c r="G17" s="32">
        <f>SUMIF('Daily Sales'!G:L,$G$5&amp;A17,'Daily Sales'!L:L)</f>
        <v>0</v>
      </c>
      <c r="H17" s="4">
        <f>SUMIF('Daily Sales'!A:D,A17,'Daily Sales'!D:D)</f>
        <v>14</v>
      </c>
      <c r="I17" s="1">
        <f>SUMIF('Daily Sales'!F:F,A17&amp;$I$4,'Daily Sales'!I:I)</f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3" t="s">
        <v>231</v>
      </c>
      <c r="B18" s="25">
        <f>SUMIF('Daily Sales'!A:L,A18,'Daily Sales'!L:L)</f>
        <v>1420250</v>
      </c>
      <c r="C18" s="25">
        <f>SUMIF('Daily Sales'!A:N,A18,'Daily Sales'!N:N)</f>
        <v>391466</v>
      </c>
      <c r="D18" s="25">
        <f>SUMIF('Daily Sales'!G:L,$D$5&amp;A18,'Daily Sales'!L:L)</f>
        <v>1105000</v>
      </c>
      <c r="E18" s="25">
        <f>SUMIF('Daily Sales'!G:L,$E$5&amp;A18,'Daily Sales'!L:L)</f>
        <v>197000</v>
      </c>
      <c r="F18" s="32">
        <f>SUMIF('Daily Sales'!G:L,$F$5&amp;A18,'Daily Sales'!L:L)</f>
        <v>118250</v>
      </c>
      <c r="G18" s="32">
        <f>SUMIF('Daily Sales'!G:L,$G$5&amp;A18,'Daily Sales'!L:L)</f>
        <v>0</v>
      </c>
      <c r="H18" s="4">
        <f>SUMIF('Daily Sales'!A:D,A18,'Daily Sales'!D:D)</f>
        <v>24</v>
      </c>
      <c r="I18" s="1">
        <f>SUMIF('Daily Sales'!F:F,A18&amp;$I$4,'Daily Sales'!I:I)</f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3" t="s">
        <v>251</v>
      </c>
      <c r="B19" s="25">
        <f>SUMIF('Daily Sales'!A:L,A19,'Daily Sales'!L:L)</f>
        <v>298000</v>
      </c>
      <c r="C19" s="25">
        <f>SUMIF('Daily Sales'!A:N,A19,'Daily Sales'!N:N)</f>
        <v>72000</v>
      </c>
      <c r="D19" s="25">
        <f>SUMIF('Daily Sales'!G:L,$D$5&amp;A19,'Daily Sales'!L:L)</f>
        <v>298000</v>
      </c>
      <c r="E19" s="25">
        <f>SUMIF('Daily Sales'!G:L,$E$5&amp;A19,'Daily Sales'!L:L)</f>
        <v>0</v>
      </c>
      <c r="F19" s="32">
        <f>SUMIF('Daily Sales'!G:L,$F$5&amp;A19,'Daily Sales'!L:L)</f>
        <v>0</v>
      </c>
      <c r="G19" s="32">
        <f>SUMIF('Daily Sales'!G:L,$G$5&amp;A19,'Daily Sales'!L:L)</f>
        <v>0</v>
      </c>
      <c r="H19" s="4">
        <f>SUMIF('Daily Sales'!A:D,A19,'Daily Sales'!D:D)</f>
        <v>4</v>
      </c>
      <c r="I19" s="1">
        <f>SUMIF('Daily Sales'!F:F,A19&amp;$I$4,'Daily Sales'!I:I)</f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3" t="s">
        <v>255</v>
      </c>
      <c r="B20" s="25">
        <f>SUMIF('Daily Sales'!A:L,A20,'Daily Sales'!L:L)</f>
        <v>9750</v>
      </c>
      <c r="C20" s="25">
        <f>SUMIF('Daily Sales'!A:N,A20,'Daily Sales'!N:N)</f>
        <v>3978</v>
      </c>
      <c r="D20" s="25">
        <f>SUMIF('Daily Sales'!G:L,$D$5&amp;A20,'Daily Sales'!L:L)</f>
        <v>0</v>
      </c>
      <c r="E20" s="25">
        <f>SUMIF('Daily Sales'!G:L,$E$5&amp;A20,'Daily Sales'!L:L)</f>
        <v>0</v>
      </c>
      <c r="F20" s="32">
        <f>SUMIF('Daily Sales'!G:L,$F$5&amp;A20,'Daily Sales'!L:L)</f>
        <v>9750</v>
      </c>
      <c r="G20" s="32">
        <f>SUMIF('Daily Sales'!G:L,$G$5&amp;A20,'Daily Sales'!L:L)</f>
        <v>0</v>
      </c>
      <c r="H20" s="4">
        <f>SUMIF('Daily Sales'!A:D,A20,'Daily Sales'!D:D)</f>
        <v>1</v>
      </c>
      <c r="I20" s="1">
        <f>SUMIF('Daily Sales'!F:F,A20&amp;$I$4,'Daily Sales'!I:I)</f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3" t="s">
        <v>257</v>
      </c>
      <c r="B21" s="25">
        <f>SUMIF('Daily Sales'!A:L,A21,'Daily Sales'!L:L)</f>
        <v>90250</v>
      </c>
      <c r="C21" s="25">
        <f>SUMIF('Daily Sales'!A:N,A21,'Daily Sales'!N:N)</f>
        <v>30030</v>
      </c>
      <c r="D21" s="25">
        <f>SUMIF('Daily Sales'!G:L,$D$5&amp;A21,'Daily Sales'!L:L)</f>
        <v>0</v>
      </c>
      <c r="E21" s="25">
        <f>SUMIF('Daily Sales'!G:L,$E$5&amp;A21,'Daily Sales'!L:L)</f>
        <v>0</v>
      </c>
      <c r="F21" s="32">
        <f>SUMIF('Daily Sales'!G:L,$F$5&amp;A21,'Daily Sales'!L:L)</f>
        <v>90250</v>
      </c>
      <c r="G21" s="32">
        <f>SUMIF('Daily Sales'!G:L,$G$5&amp;A21,'Daily Sales'!L:L)</f>
        <v>0</v>
      </c>
      <c r="H21" s="4">
        <f>SUMIF('Daily Sales'!A:D,A21,'Daily Sales'!D:D)</f>
        <v>1</v>
      </c>
      <c r="I21" s="1">
        <f>SUMIF('Daily Sales'!F:F,A21&amp;$I$4,'Daily Sales'!I:I)</f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3" t="s">
        <v>1003</v>
      </c>
      <c r="B22" s="25">
        <f>SUMIF('Daily Sales'!A:L,A22,'Daily Sales'!L:L)</f>
        <v>0</v>
      </c>
      <c r="C22" s="25">
        <f>SUMIF('Daily Sales'!A:N,A22,'Daily Sales'!N:N)</f>
        <v>0</v>
      </c>
      <c r="D22" s="25">
        <f>SUMIF('Daily Sales'!G:L,$D$5&amp;A22,'Daily Sales'!L:L)</f>
        <v>0</v>
      </c>
      <c r="E22" s="25">
        <f>SUMIF('Daily Sales'!G:L,$E$5&amp;A22,'Daily Sales'!L:L)</f>
        <v>0</v>
      </c>
      <c r="F22" s="32">
        <f>SUMIF('Daily Sales'!G:L,$F$5&amp;A22,'Daily Sales'!L:L)</f>
        <v>0</v>
      </c>
      <c r="G22" s="32">
        <f>SUMIF('Daily Sales'!G:L,$G$5&amp;A22,'Daily Sales'!L:L)</f>
        <v>0</v>
      </c>
      <c r="H22" s="4">
        <f>SUMIF('Daily Sales'!A:D,A22,'Daily Sales'!D:D)</f>
        <v>0</v>
      </c>
      <c r="I22" s="1">
        <f>SUMIF('Daily Sales'!F:F,A22&amp;$I$4,'Daily Sales'!I:I)</f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3" t="s">
        <v>260</v>
      </c>
      <c r="B23" s="25">
        <f>SUMIF('Daily Sales'!A:L,A23,'Daily Sales'!L:L)</f>
        <v>769500</v>
      </c>
      <c r="C23" s="25">
        <f>SUMIF('Daily Sales'!A:N,A23,'Daily Sales'!N:N)</f>
        <v>292303</v>
      </c>
      <c r="D23" s="25">
        <f>SUMIF('Daily Sales'!G:L,$D$5&amp;A23,'Daily Sales'!L:L)</f>
        <v>537000</v>
      </c>
      <c r="E23" s="25">
        <f>SUMIF('Daily Sales'!G:L,$E$5&amp;A23,'Daily Sales'!L:L)</f>
        <v>57000</v>
      </c>
      <c r="F23" s="32">
        <f>SUMIF('Daily Sales'!G:L,$F$5&amp;A23,'Daily Sales'!L:L)</f>
        <v>175500</v>
      </c>
      <c r="G23" s="32">
        <f>SUMIF('Daily Sales'!G:L,$G$5&amp;A23,'Daily Sales'!L:L)</f>
        <v>0</v>
      </c>
      <c r="H23" s="4">
        <f>SUMIF('Daily Sales'!A:D,A23,'Daily Sales'!D:D)</f>
        <v>10</v>
      </c>
      <c r="I23" s="1">
        <f>SUMIF('Daily Sales'!F:F,A23&amp;$I$4,'Daily Sales'!I:I)</f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3" t="s">
        <v>268</v>
      </c>
      <c r="B24" s="25">
        <f>SUMIF('Daily Sales'!A:L,A24,'Daily Sales'!L:L)</f>
        <v>653500</v>
      </c>
      <c r="C24" s="25">
        <f>SUMIF('Daily Sales'!A:N,A24,'Daily Sales'!N:N)</f>
        <v>220563</v>
      </c>
      <c r="D24" s="25">
        <f>SUMIF('Daily Sales'!G:L,$D$5&amp;A24,'Daily Sales'!L:L)</f>
        <v>300000</v>
      </c>
      <c r="E24" s="25">
        <f>SUMIF('Daily Sales'!G:L,$E$5&amp;A24,'Daily Sales'!L:L)</f>
        <v>0</v>
      </c>
      <c r="F24" s="32">
        <f>SUMIF('Daily Sales'!G:L,$F$5&amp;A24,'Daily Sales'!L:L)</f>
        <v>343500</v>
      </c>
      <c r="G24" s="32">
        <f>SUMIF('Daily Sales'!G:L,$G$5&amp;A24,'Daily Sales'!L:L)</f>
        <v>10000</v>
      </c>
      <c r="H24" s="4">
        <f>SUMIF('Daily Sales'!A:D,A24,'Daily Sales'!D:D)</f>
        <v>13</v>
      </c>
      <c r="I24" s="1">
        <f>SUMIF('Daily Sales'!F:F,A24&amp;$I$4,'Daily Sales'!I:I)</f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3" t="s">
        <v>278</v>
      </c>
      <c r="B25" s="25">
        <f>SUMIF('Daily Sales'!A:L,A25,'Daily Sales'!L:L)</f>
        <v>527000</v>
      </c>
      <c r="C25" s="25">
        <f>SUMIF('Daily Sales'!A:N,A25,'Daily Sales'!N:N)</f>
        <v>192122</v>
      </c>
      <c r="D25" s="25">
        <f>SUMIF('Daily Sales'!G:L,$D$5&amp;A25,'Daily Sales'!L:L)</f>
        <v>165000</v>
      </c>
      <c r="E25" s="25">
        <f>SUMIF('Daily Sales'!G:L,$E$5&amp;A25,'Daily Sales'!L:L)</f>
        <v>170000</v>
      </c>
      <c r="F25" s="32">
        <f>SUMIF('Daily Sales'!G:L,$F$5&amp;A25,'Daily Sales'!L:L)</f>
        <v>50000</v>
      </c>
      <c r="G25" s="32">
        <f>SUMIF('Daily Sales'!G:L,$G$5&amp;A25,'Daily Sales'!L:L)</f>
        <v>142000</v>
      </c>
      <c r="H25" s="4">
        <f>SUMIF('Daily Sales'!A:D,A25,'Daily Sales'!D:D)</f>
        <v>12</v>
      </c>
      <c r="I25" s="1">
        <f>SUMIF('Daily Sales'!F:F,A25&amp;$I$4,'Daily Sales'!I:I)</f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3" t="s">
        <v>287</v>
      </c>
      <c r="B26" s="25">
        <f>SUMIF('Daily Sales'!A:L,A26,'Daily Sales'!L:L)</f>
        <v>143500</v>
      </c>
      <c r="C26" s="25">
        <f>SUMIF('Daily Sales'!A:N,A26,'Daily Sales'!N:N)</f>
        <v>53144</v>
      </c>
      <c r="D26" s="25">
        <f>SUMIF('Daily Sales'!G:L,$D$5&amp;A26,'Daily Sales'!L:L)</f>
        <v>84000</v>
      </c>
      <c r="E26" s="25">
        <f>SUMIF('Daily Sales'!G:L,$E$5&amp;A26,'Daily Sales'!L:L)</f>
        <v>0</v>
      </c>
      <c r="F26" s="32">
        <f>SUMIF('Daily Sales'!G:L,$F$5&amp;A26,'Daily Sales'!L:L)</f>
        <v>24500</v>
      </c>
      <c r="G26" s="32">
        <f>SUMIF('Daily Sales'!G:L,$G$5&amp;A26,'Daily Sales'!L:L)</f>
        <v>35000</v>
      </c>
      <c r="H26" s="4">
        <f>SUMIF('Daily Sales'!A:D,A26,'Daily Sales'!D:D)</f>
        <v>5</v>
      </c>
      <c r="I26" s="1">
        <f>SUMIF('Daily Sales'!F:F,A26&amp;$I$4,'Daily Sales'!I:I)</f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3" t="s">
        <v>292</v>
      </c>
      <c r="B27" s="25">
        <f>SUMIF('Daily Sales'!A:L,A27,'Daily Sales'!L:L)</f>
        <v>383250</v>
      </c>
      <c r="C27" s="25">
        <f>SUMIF('Daily Sales'!A:N,A27,'Daily Sales'!N:N)</f>
        <v>125956</v>
      </c>
      <c r="D27" s="25">
        <f>SUMIF('Daily Sales'!G:L,$D$5&amp;A27,'Daily Sales'!L:L)</f>
        <v>283500</v>
      </c>
      <c r="E27" s="25">
        <f>SUMIF('Daily Sales'!G:L,$E$5&amp;A27,'Daily Sales'!L:L)</f>
        <v>0</v>
      </c>
      <c r="F27" s="32">
        <f>SUMIF('Daily Sales'!G:L,$F$5&amp;A27,'Daily Sales'!L:L)</f>
        <v>99750</v>
      </c>
      <c r="G27" s="32">
        <f>SUMIF('Daily Sales'!G:L,$G$5&amp;A27,'Daily Sales'!L:L)</f>
        <v>0</v>
      </c>
      <c r="H27" s="4">
        <f>SUMIF('Daily Sales'!A:D,A27,'Daily Sales'!D:D)</f>
        <v>6</v>
      </c>
      <c r="I27" s="1">
        <f>SUMIF('Daily Sales'!F:F,A27&amp;$I$4,'Daily Sales'!I:I)</f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3" t="s">
        <v>300</v>
      </c>
      <c r="B28" s="25">
        <f>SUMIF('Daily Sales'!A:L,A28,'Daily Sales'!L:L)</f>
        <v>477750</v>
      </c>
      <c r="C28" s="25">
        <f>SUMIF('Daily Sales'!A:N,A28,'Daily Sales'!N:N)</f>
        <v>149374</v>
      </c>
      <c r="D28" s="25">
        <f>SUMIF('Daily Sales'!G:L,$D$5&amp;A28,'Daily Sales'!L:L)</f>
        <v>434000</v>
      </c>
      <c r="E28" s="25">
        <f>SUMIF('Daily Sales'!G:L,$E$5&amp;A28,'Daily Sales'!L:L)</f>
        <v>0</v>
      </c>
      <c r="F28" s="32">
        <f>SUMIF('Daily Sales'!G:L,$F$5&amp;A28,'Daily Sales'!L:L)</f>
        <v>43750</v>
      </c>
      <c r="G28" s="32">
        <f>SUMIF('Daily Sales'!G:L,$G$5&amp;A28,'Daily Sales'!L:L)</f>
        <v>0</v>
      </c>
      <c r="H28" s="4">
        <f>SUMIF('Daily Sales'!A:D,A28,'Daily Sales'!D:D)</f>
        <v>10</v>
      </c>
      <c r="I28" s="1">
        <f>SUMIF('Daily Sales'!F:F,A28&amp;$I$4,'Daily Sales'!I:I)</f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3" t="s">
        <v>310</v>
      </c>
      <c r="B29" s="25">
        <f>SUMIF('Daily Sales'!A:L,A29,'Daily Sales'!L:L)</f>
        <v>217250</v>
      </c>
      <c r="C29" s="25">
        <f>SUMIF('Daily Sales'!A:N,A29,'Daily Sales'!N:N)</f>
        <v>86682</v>
      </c>
      <c r="D29" s="25">
        <f>SUMIF('Daily Sales'!G:L,$D$5&amp;A29,'Daily Sales'!L:L)</f>
        <v>127000</v>
      </c>
      <c r="E29" s="25">
        <f>SUMIF('Daily Sales'!G:L,$E$5&amp;A29,'Daily Sales'!L:L)</f>
        <v>0</v>
      </c>
      <c r="F29" s="32">
        <f>SUMIF('Daily Sales'!G:L,$F$5&amp;A29,'Daily Sales'!L:L)</f>
        <v>67750</v>
      </c>
      <c r="G29" s="32">
        <f>SUMIF('Daily Sales'!G:L,$G$5&amp;A29,'Daily Sales'!L:L)</f>
        <v>22500</v>
      </c>
      <c r="H29" s="4">
        <f>SUMIF('Daily Sales'!A:D,A29,'Daily Sales'!D:D)</f>
        <v>3</v>
      </c>
      <c r="I29" s="1">
        <f>SUMIF('Daily Sales'!F:F,A29&amp;$I$4,'Daily Sales'!I:I)</f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3" t="s">
        <v>313</v>
      </c>
      <c r="B30" s="25">
        <f>SUMIF('Daily Sales'!A:L,A30,'Daily Sales'!L:L)</f>
        <v>482500</v>
      </c>
      <c r="C30" s="25">
        <f>SUMIF('Daily Sales'!A:N,A30,'Daily Sales'!N:N)</f>
        <v>219866</v>
      </c>
      <c r="D30" s="25">
        <f>SUMIF('Daily Sales'!G:L,$D$5&amp;A30,'Daily Sales'!L:L)</f>
        <v>423000</v>
      </c>
      <c r="E30" s="25">
        <f>SUMIF('Daily Sales'!G:L,$E$5&amp;A30,'Daily Sales'!L:L)</f>
        <v>0</v>
      </c>
      <c r="F30" s="32">
        <f>SUMIF('Daily Sales'!G:L,$F$5&amp;A30,'Daily Sales'!L:L)</f>
        <v>34500</v>
      </c>
      <c r="G30" s="32">
        <f>SUMIF('Daily Sales'!G:L,$G$5&amp;A30,'Daily Sales'!L:L)</f>
        <v>25000</v>
      </c>
      <c r="H30" s="4">
        <f>SUMIF('Daily Sales'!A:D,A30,'Daily Sales'!D:D)</f>
        <v>13</v>
      </c>
      <c r="I30" s="1">
        <f>SUMIF('Daily Sales'!F:F,A30&amp;$I$4,'Daily Sales'!I:I)</f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3" t="s">
        <v>321</v>
      </c>
      <c r="B31" s="25">
        <f>SUMIF('Daily Sales'!A:L,A31,'Daily Sales'!L:L)</f>
        <v>266750</v>
      </c>
      <c r="C31" s="25">
        <f>SUMIF('Daily Sales'!A:N,A31,'Daily Sales'!N:N)</f>
        <v>103910</v>
      </c>
      <c r="D31" s="25">
        <f>SUMIF('Daily Sales'!G:L,$D$5&amp;A31,'Daily Sales'!L:L)</f>
        <v>87000</v>
      </c>
      <c r="E31" s="25">
        <f>SUMIF('Daily Sales'!G:L,$E$5&amp;A31,'Daily Sales'!L:L)</f>
        <v>50000</v>
      </c>
      <c r="F31" s="32">
        <f>SUMIF('Daily Sales'!G:L,$F$5&amp;A31,'Daily Sales'!L:L)</f>
        <v>114750</v>
      </c>
      <c r="G31" s="32">
        <f>SUMIF('Daily Sales'!G:L,$G$5&amp;A31,'Daily Sales'!L:L)</f>
        <v>15000</v>
      </c>
      <c r="H31" s="4">
        <f>SUMIF('Daily Sales'!A:D,A31,'Daily Sales'!D:D)</f>
        <v>6</v>
      </c>
      <c r="I31" s="1">
        <f>SUMIF('Daily Sales'!F:F,A31&amp;$I$4,'Daily Sales'!I:I)</f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3" t="s">
        <v>328</v>
      </c>
      <c r="B32" s="25">
        <f>SUMIF('Daily Sales'!A:L,A32,'Daily Sales'!L:L)</f>
        <v>542250</v>
      </c>
      <c r="C32" s="25">
        <f>SUMIF('Daily Sales'!A:N,A32,'Daily Sales'!N:N)</f>
        <v>211666.1429</v>
      </c>
      <c r="D32" s="25">
        <f>SUMIF('Daily Sales'!G:L,$D$5&amp;A32,'Daily Sales'!L:L)</f>
        <v>441000</v>
      </c>
      <c r="E32" s="25">
        <f>SUMIF('Daily Sales'!G:L,$E$5&amp;A32,'Daily Sales'!L:L)</f>
        <v>0</v>
      </c>
      <c r="F32" s="32">
        <f>SUMIF('Daily Sales'!G:L,$F$5&amp;A32,'Daily Sales'!L:L)</f>
        <v>31250</v>
      </c>
      <c r="G32" s="32">
        <f>SUMIF('Daily Sales'!G:L,$G$5&amp;A32,'Daily Sales'!L:L)</f>
        <v>70000</v>
      </c>
      <c r="H32" s="4">
        <f>SUMIF('Daily Sales'!A:D,A32,'Daily Sales'!D:D)</f>
        <v>16</v>
      </c>
      <c r="I32" s="1">
        <f>SUMIF('Daily Sales'!F:F,A32&amp;$I$4,'Daily Sales'!I:I)</f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3" t="s">
        <v>344</v>
      </c>
      <c r="B33" s="25">
        <f>SUMIF('Daily Sales'!A:L,A33,'Daily Sales'!L:L)</f>
        <v>842500</v>
      </c>
      <c r="C33" s="25">
        <f>SUMIF('Daily Sales'!A:N,A33,'Daily Sales'!N:N)</f>
        <v>263564.2857</v>
      </c>
      <c r="D33" s="25">
        <f>SUMIF('Daily Sales'!G:L,$D$5&amp;A33,'Daily Sales'!L:L)</f>
        <v>640000</v>
      </c>
      <c r="E33" s="25">
        <f>SUMIF('Daily Sales'!G:L,$E$5&amp;A33,'Daily Sales'!L:L)</f>
        <v>0</v>
      </c>
      <c r="F33" s="32">
        <f>SUMIF('Daily Sales'!G:L,$F$5&amp;A33,'Daily Sales'!L:L)</f>
        <v>174500</v>
      </c>
      <c r="G33" s="32">
        <f>SUMIF('Daily Sales'!G:L,$G$5&amp;A33,'Daily Sales'!L:L)</f>
        <v>28000</v>
      </c>
      <c r="H33" s="4">
        <f>SUMIF('Daily Sales'!A:D,A33,'Daily Sales'!D:D)</f>
        <v>17</v>
      </c>
      <c r="I33" s="1">
        <f>SUMIF('Daily Sales'!F:F,A33&amp;$I$4,'Daily Sales'!I:I)</f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3" t="s">
        <v>1004</v>
      </c>
      <c r="B34" s="25">
        <f>SUMIF('Daily Sales'!A:L,A34,'Daily Sales'!L:L)</f>
        <v>0</v>
      </c>
      <c r="C34" s="25">
        <f>SUMIF('Daily Sales'!A:N,A34,'Daily Sales'!N:N)</f>
        <v>0</v>
      </c>
      <c r="D34" s="25">
        <f>SUMIF('Daily Sales'!G:L,$D$5&amp;A34,'Daily Sales'!L:L)</f>
        <v>0</v>
      </c>
      <c r="E34" s="25">
        <f>SUMIF('Daily Sales'!G:L,$E$5&amp;A34,'Daily Sales'!L:L)</f>
        <v>0</v>
      </c>
      <c r="F34" s="32">
        <f>SUMIF('Daily Sales'!G:L,$F$5&amp;A34,'Daily Sales'!L:L)</f>
        <v>0</v>
      </c>
      <c r="G34" s="32">
        <f>SUMIF('Daily Sales'!G:L,$G$5&amp;A34,'Daily Sales'!L:L)</f>
        <v>0</v>
      </c>
      <c r="H34" s="4">
        <f>SUMIF('Daily Sales'!A:D,A34,'Daily Sales'!D:D)</f>
        <v>0</v>
      </c>
      <c r="I34" s="1">
        <f>SUMIF('Daily Sales'!F:F,A34&amp;$I$4,'Daily Sales'!I:I)</f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3" t="s">
        <v>1005</v>
      </c>
      <c r="B35" s="25">
        <f>SUMIF('Daily Sales'!A:L,A35,'Daily Sales'!L:L)</f>
        <v>0</v>
      </c>
      <c r="C35" s="25">
        <f>SUMIF('Daily Sales'!A:N,A35,'Daily Sales'!N:N)</f>
        <v>0</v>
      </c>
      <c r="D35" s="25">
        <f>SUMIF('Daily Sales'!G:L,$D$5&amp;A35,'Daily Sales'!L:L)</f>
        <v>0</v>
      </c>
      <c r="E35" s="25">
        <f>SUMIF('Daily Sales'!G:L,$E$5&amp;A35,'Daily Sales'!L:L)</f>
        <v>0</v>
      </c>
      <c r="F35" s="32">
        <f>SUMIF('Daily Sales'!G:L,$F$5&amp;A35,'Daily Sales'!L:L)</f>
        <v>0</v>
      </c>
      <c r="G35" s="32">
        <f>SUMIF('Daily Sales'!G:L,$G$5&amp;A35,'Daily Sales'!L:L)</f>
        <v>0</v>
      </c>
      <c r="H35" s="4">
        <f>SUMIF('Daily Sales'!A:D,A35,'Daily Sales'!D:D)</f>
        <v>0</v>
      </c>
      <c r="I35" s="1">
        <f>SUMIF('Daily Sales'!F:F,A35&amp;$I$4,'Daily Sales'!I:I)</f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3" t="s">
        <v>1006</v>
      </c>
      <c r="B36" s="25">
        <f>SUMIF('Daily Sales'!A:L,A36,'Daily Sales'!L:L)</f>
        <v>0</v>
      </c>
      <c r="C36" s="25">
        <f>SUMIF('Daily Sales'!A:N,A36,'Daily Sales'!N:N)</f>
        <v>0</v>
      </c>
      <c r="D36" s="25">
        <f>SUMIF('Daily Sales'!G:L,$D$5&amp;A36,'Daily Sales'!L:L)</f>
        <v>0</v>
      </c>
      <c r="E36" s="25">
        <f>SUMIF('Daily Sales'!G:L,$E$5&amp;A36,'Daily Sales'!L:L)</f>
        <v>0</v>
      </c>
      <c r="F36" s="32">
        <f>SUMIF('Daily Sales'!G:L,$F$5&amp;A36,'Daily Sales'!L:L)</f>
        <v>0</v>
      </c>
      <c r="G36" s="32">
        <f>SUMIF('Daily Sales'!G:L,$G$5&amp;A36,'Daily Sales'!L:L)</f>
        <v>0</v>
      </c>
      <c r="H36" s="4">
        <f>SUMIF('Daily Sales'!A:D,A36,'Daily Sales'!D:D)</f>
        <v>0</v>
      </c>
      <c r="I36" s="1">
        <f>SUMIF('Daily Sales'!F:F,A36&amp;$I$4,'Daily Sales'!I:I)</f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41"/>
      <c r="B37" s="42"/>
      <c r="C37" s="42"/>
      <c r="D37" s="42"/>
      <c r="E37" s="42"/>
      <c r="F37" s="42"/>
      <c r="G37" s="42"/>
      <c r="H37" s="4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43" t="s">
        <v>1007</v>
      </c>
      <c r="B38" s="44">
        <f t="shared" ref="B38:H38" si="1">SUM(B5:B36)</f>
        <v>13446500</v>
      </c>
      <c r="C38" s="44">
        <f t="shared" si="1"/>
        <v>4719545.429</v>
      </c>
      <c r="D38" s="44">
        <f t="shared" si="1"/>
        <v>8534500</v>
      </c>
      <c r="E38" s="44">
        <f t="shared" si="1"/>
        <v>821000</v>
      </c>
      <c r="F38" s="44">
        <f t="shared" si="1"/>
        <v>3255500</v>
      </c>
      <c r="G38" s="44">
        <f t="shared" si="1"/>
        <v>835500</v>
      </c>
      <c r="H38" s="44">
        <f t="shared" si="1"/>
        <v>278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45" t="s">
        <v>1008</v>
      </c>
      <c r="B39" s="25">
        <f>B38/31</f>
        <v>433758.0645</v>
      </c>
      <c r="C39" s="25"/>
      <c r="D39" s="25"/>
      <c r="E39" s="25"/>
      <c r="F39" s="32"/>
      <c r="G39" s="32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25">
        <f>B38/26</f>
        <v>517173.0769</v>
      </c>
      <c r="C40" s="25">
        <f>C38/B38*100</f>
        <v>35.09869058</v>
      </c>
      <c r="D40" s="25"/>
      <c r="E40" s="25"/>
      <c r="F40" s="32"/>
      <c r="G40" s="32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25"/>
      <c r="C41" s="25"/>
      <c r="D41" s="25"/>
      <c r="E41" s="25"/>
      <c r="F41" s="32"/>
      <c r="G41" s="32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25"/>
      <c r="C42" s="25"/>
      <c r="D42" s="25"/>
      <c r="E42" s="25"/>
      <c r="F42" s="32"/>
      <c r="G42" s="32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25"/>
      <c r="C43" s="25"/>
      <c r="D43" s="25"/>
      <c r="E43" s="25"/>
      <c r="F43" s="32"/>
      <c r="G43" s="32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25"/>
      <c r="C44" s="25"/>
      <c r="D44" s="25"/>
      <c r="E44" s="25"/>
      <c r="F44" s="32"/>
      <c r="G44" s="32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25"/>
      <c r="C45" s="25"/>
      <c r="D45" s="25"/>
      <c r="E45" s="25"/>
      <c r="F45" s="32"/>
      <c r="G45" s="32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25"/>
      <c r="C46" s="25"/>
      <c r="D46" s="25"/>
      <c r="E46" s="25"/>
      <c r="F46" s="32"/>
      <c r="G46" s="32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25"/>
      <c r="C47" s="25"/>
      <c r="D47" s="25"/>
      <c r="E47" s="25"/>
      <c r="F47" s="32"/>
      <c r="G47" s="32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25"/>
      <c r="C48" s="25"/>
      <c r="D48" s="25"/>
      <c r="E48" s="25"/>
      <c r="F48" s="32"/>
      <c r="G48" s="32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25"/>
      <c r="C49" s="25"/>
      <c r="D49" s="25"/>
      <c r="E49" s="25"/>
      <c r="F49" s="32"/>
      <c r="G49" s="32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25"/>
      <c r="C50" s="25"/>
      <c r="D50" s="25"/>
      <c r="E50" s="25"/>
      <c r="F50" s="32"/>
      <c r="G50" s="32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25"/>
      <c r="C51" s="25"/>
      <c r="D51" s="25"/>
      <c r="E51" s="25"/>
      <c r="F51" s="32"/>
      <c r="G51" s="32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25"/>
      <c r="C52" s="25"/>
      <c r="D52" s="25"/>
      <c r="E52" s="25"/>
      <c r="F52" s="32"/>
      <c r="G52" s="32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25"/>
      <c r="C53" s="25"/>
      <c r="D53" s="25"/>
      <c r="E53" s="25"/>
      <c r="F53" s="32"/>
      <c r="G53" s="32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25"/>
      <c r="C54" s="25"/>
      <c r="D54" s="25"/>
      <c r="E54" s="25"/>
      <c r="F54" s="32"/>
      <c r="G54" s="32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25"/>
      <c r="C55" s="25"/>
      <c r="D55" s="25"/>
      <c r="E55" s="25"/>
      <c r="F55" s="32"/>
      <c r="G55" s="32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25"/>
      <c r="C56" s="25"/>
      <c r="D56" s="25"/>
      <c r="E56" s="25"/>
      <c r="F56" s="32"/>
      <c r="G56" s="32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25"/>
      <c r="C57" s="25"/>
      <c r="D57" s="25"/>
      <c r="E57" s="25"/>
      <c r="F57" s="32"/>
      <c r="G57" s="32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25"/>
      <c r="C58" s="25"/>
      <c r="D58" s="25"/>
      <c r="E58" s="25"/>
      <c r="F58" s="32"/>
      <c r="G58" s="32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25"/>
      <c r="C59" s="25"/>
      <c r="D59" s="25"/>
      <c r="E59" s="25"/>
      <c r="F59" s="32"/>
      <c r="G59" s="32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25"/>
      <c r="C60" s="25"/>
      <c r="D60" s="25"/>
      <c r="E60" s="25"/>
      <c r="F60" s="32"/>
      <c r="G60" s="32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25"/>
      <c r="C61" s="25"/>
      <c r="D61" s="25"/>
      <c r="E61" s="25"/>
      <c r="F61" s="32"/>
      <c r="G61" s="32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25"/>
      <c r="C62" s="25"/>
      <c r="D62" s="25"/>
      <c r="E62" s="25"/>
      <c r="F62" s="32"/>
      <c r="G62" s="32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25"/>
      <c r="C63" s="25"/>
      <c r="D63" s="25"/>
      <c r="E63" s="25"/>
      <c r="F63" s="32"/>
      <c r="G63" s="32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25"/>
      <c r="C64" s="25"/>
      <c r="D64" s="25"/>
      <c r="E64" s="25"/>
      <c r="F64" s="32"/>
      <c r="G64" s="32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25"/>
      <c r="C65" s="25"/>
      <c r="D65" s="25"/>
      <c r="E65" s="25"/>
      <c r="F65" s="32"/>
      <c r="G65" s="32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25"/>
      <c r="C66" s="25"/>
      <c r="D66" s="25"/>
      <c r="E66" s="25"/>
      <c r="F66" s="32"/>
      <c r="G66" s="32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5"/>
      <c r="C67" s="25"/>
      <c r="D67" s="25"/>
      <c r="E67" s="25"/>
      <c r="F67" s="32"/>
      <c r="G67" s="32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5"/>
      <c r="C68" s="25"/>
      <c r="D68" s="25"/>
      <c r="E68" s="25"/>
      <c r="F68" s="32"/>
      <c r="G68" s="32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5"/>
      <c r="C69" s="25"/>
      <c r="D69" s="25"/>
      <c r="E69" s="25"/>
      <c r="F69" s="32"/>
      <c r="G69" s="32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5"/>
      <c r="C70" s="25"/>
      <c r="D70" s="25"/>
      <c r="E70" s="25"/>
      <c r="F70" s="32"/>
      <c r="G70" s="32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25"/>
      <c r="C71" s="25"/>
      <c r="D71" s="25"/>
      <c r="E71" s="25"/>
      <c r="F71" s="32"/>
      <c r="G71" s="32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25"/>
      <c r="C72" s="25"/>
      <c r="D72" s="25"/>
      <c r="E72" s="25"/>
      <c r="F72" s="32"/>
      <c r="G72" s="32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25"/>
      <c r="C73" s="25"/>
      <c r="D73" s="25"/>
      <c r="E73" s="25"/>
      <c r="F73" s="32"/>
      <c r="G73" s="32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25"/>
      <c r="C74" s="25"/>
      <c r="D74" s="25"/>
      <c r="E74" s="25"/>
      <c r="F74" s="32"/>
      <c r="G74" s="32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25"/>
      <c r="C75" s="25"/>
      <c r="D75" s="25"/>
      <c r="E75" s="25"/>
      <c r="F75" s="32"/>
      <c r="G75" s="32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25"/>
      <c r="C76" s="25"/>
      <c r="D76" s="25"/>
      <c r="E76" s="25"/>
      <c r="F76" s="32"/>
      <c r="G76" s="32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25"/>
      <c r="C77" s="25"/>
      <c r="D77" s="25"/>
      <c r="E77" s="25"/>
      <c r="F77" s="32"/>
      <c r="G77" s="32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5"/>
      <c r="C78" s="25"/>
      <c r="D78" s="25"/>
      <c r="E78" s="25"/>
      <c r="F78" s="32"/>
      <c r="G78" s="32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25"/>
      <c r="C79" s="25"/>
      <c r="D79" s="25"/>
      <c r="E79" s="25"/>
      <c r="F79" s="32"/>
      <c r="G79" s="32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25"/>
      <c r="C80" s="25"/>
      <c r="D80" s="25"/>
      <c r="E80" s="25"/>
      <c r="F80" s="32"/>
      <c r="G80" s="32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25"/>
      <c r="C81" s="25"/>
      <c r="D81" s="25"/>
      <c r="E81" s="25"/>
      <c r="F81" s="32"/>
      <c r="G81" s="32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25"/>
      <c r="C82" s="25"/>
      <c r="D82" s="25"/>
      <c r="E82" s="25"/>
      <c r="F82" s="32"/>
      <c r="G82" s="32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25"/>
      <c r="C83" s="25"/>
      <c r="D83" s="25"/>
      <c r="E83" s="25"/>
      <c r="F83" s="32"/>
      <c r="G83" s="32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25"/>
      <c r="C84" s="25"/>
      <c r="D84" s="25"/>
      <c r="E84" s="25"/>
      <c r="F84" s="32"/>
      <c r="G84" s="32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25"/>
      <c r="C85" s="25"/>
      <c r="D85" s="25"/>
      <c r="E85" s="25"/>
      <c r="F85" s="32"/>
      <c r="G85" s="32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25"/>
      <c r="C86" s="25"/>
      <c r="D86" s="25"/>
      <c r="E86" s="25"/>
      <c r="F86" s="32"/>
      <c r="G86" s="32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5"/>
      <c r="C87" s="25"/>
      <c r="D87" s="25"/>
      <c r="E87" s="25"/>
      <c r="F87" s="32"/>
      <c r="G87" s="32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25"/>
      <c r="C88" s="25"/>
      <c r="D88" s="25"/>
      <c r="E88" s="25"/>
      <c r="F88" s="32"/>
      <c r="G88" s="32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25"/>
      <c r="C89" s="25"/>
      <c r="D89" s="25"/>
      <c r="E89" s="25"/>
      <c r="F89" s="32"/>
      <c r="G89" s="32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25"/>
      <c r="C90" s="25"/>
      <c r="D90" s="25"/>
      <c r="E90" s="25"/>
      <c r="F90" s="32"/>
      <c r="G90" s="32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25"/>
      <c r="C91" s="25"/>
      <c r="D91" s="25"/>
      <c r="E91" s="25"/>
      <c r="F91" s="32"/>
      <c r="G91" s="32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25"/>
      <c r="C92" s="25"/>
      <c r="D92" s="25"/>
      <c r="E92" s="25"/>
      <c r="F92" s="32"/>
      <c r="G92" s="32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25"/>
      <c r="C93" s="25"/>
      <c r="D93" s="25"/>
      <c r="E93" s="25"/>
      <c r="F93" s="32"/>
      <c r="G93" s="32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25"/>
      <c r="C94" s="25"/>
      <c r="D94" s="25"/>
      <c r="E94" s="25"/>
      <c r="F94" s="32"/>
      <c r="G94" s="32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5"/>
      <c r="C95" s="25"/>
      <c r="D95" s="25"/>
      <c r="E95" s="25"/>
      <c r="F95" s="32"/>
      <c r="G95" s="32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5"/>
      <c r="C96" s="25"/>
      <c r="D96" s="25"/>
      <c r="E96" s="25"/>
      <c r="F96" s="32"/>
      <c r="G96" s="32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25"/>
      <c r="C97" s="25"/>
      <c r="D97" s="25"/>
      <c r="E97" s="25"/>
      <c r="F97" s="32"/>
      <c r="G97" s="32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25"/>
      <c r="C98" s="25"/>
      <c r="D98" s="25"/>
      <c r="E98" s="25"/>
      <c r="F98" s="32"/>
      <c r="G98" s="32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5"/>
      <c r="C99" s="25"/>
      <c r="D99" s="25"/>
      <c r="E99" s="25"/>
      <c r="F99" s="32"/>
      <c r="G99" s="32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5"/>
      <c r="C100" s="25"/>
      <c r="D100" s="25"/>
      <c r="E100" s="25"/>
      <c r="F100" s="32"/>
      <c r="G100" s="32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25"/>
      <c r="C101" s="25"/>
      <c r="D101" s="25"/>
      <c r="E101" s="25"/>
      <c r="F101" s="32"/>
      <c r="G101" s="32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25"/>
      <c r="C102" s="25"/>
      <c r="D102" s="25"/>
      <c r="E102" s="25"/>
      <c r="F102" s="32"/>
      <c r="G102" s="32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25"/>
      <c r="C103" s="25"/>
      <c r="D103" s="25"/>
      <c r="E103" s="25"/>
      <c r="F103" s="32"/>
      <c r="G103" s="32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25"/>
      <c r="C104" s="25"/>
      <c r="D104" s="25"/>
      <c r="E104" s="25"/>
      <c r="F104" s="32"/>
      <c r="G104" s="32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5"/>
      <c r="C105" s="25"/>
      <c r="D105" s="25"/>
      <c r="E105" s="25"/>
      <c r="F105" s="32"/>
      <c r="G105" s="32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25"/>
      <c r="C106" s="25"/>
      <c r="D106" s="25"/>
      <c r="E106" s="25"/>
      <c r="F106" s="32"/>
      <c r="G106" s="32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25"/>
      <c r="C107" s="25"/>
      <c r="D107" s="25"/>
      <c r="E107" s="25"/>
      <c r="F107" s="32"/>
      <c r="G107" s="32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25"/>
      <c r="C108" s="25"/>
      <c r="D108" s="25"/>
      <c r="E108" s="25"/>
      <c r="F108" s="32"/>
      <c r="G108" s="32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25"/>
      <c r="C109" s="25"/>
      <c r="D109" s="25"/>
      <c r="E109" s="25"/>
      <c r="F109" s="32"/>
      <c r="G109" s="32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25"/>
      <c r="C110" s="25"/>
      <c r="D110" s="25"/>
      <c r="E110" s="25"/>
      <c r="F110" s="32"/>
      <c r="G110" s="32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25"/>
      <c r="C111" s="25"/>
      <c r="D111" s="25"/>
      <c r="E111" s="25"/>
      <c r="F111" s="32"/>
      <c r="G111" s="32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25"/>
      <c r="C112" s="25"/>
      <c r="D112" s="25"/>
      <c r="E112" s="25"/>
      <c r="F112" s="32"/>
      <c r="G112" s="32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25"/>
      <c r="C113" s="25"/>
      <c r="D113" s="25"/>
      <c r="E113" s="25"/>
      <c r="F113" s="32"/>
      <c r="G113" s="32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5"/>
      <c r="C114" s="25"/>
      <c r="D114" s="25"/>
      <c r="E114" s="25"/>
      <c r="F114" s="32"/>
      <c r="G114" s="32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5"/>
      <c r="C115" s="25"/>
      <c r="D115" s="25"/>
      <c r="E115" s="25"/>
      <c r="F115" s="32"/>
      <c r="G115" s="32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5"/>
      <c r="C116" s="25"/>
      <c r="D116" s="25"/>
      <c r="E116" s="25"/>
      <c r="F116" s="32"/>
      <c r="G116" s="32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5"/>
      <c r="C117" s="25"/>
      <c r="D117" s="25"/>
      <c r="E117" s="25"/>
      <c r="F117" s="32"/>
      <c r="G117" s="32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5"/>
      <c r="C118" s="25"/>
      <c r="D118" s="25"/>
      <c r="E118" s="25"/>
      <c r="F118" s="32"/>
      <c r="G118" s="32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5"/>
      <c r="C119" s="25"/>
      <c r="D119" s="25"/>
      <c r="E119" s="25"/>
      <c r="F119" s="32"/>
      <c r="G119" s="32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5"/>
      <c r="C120" s="25"/>
      <c r="D120" s="25"/>
      <c r="E120" s="25"/>
      <c r="F120" s="32"/>
      <c r="G120" s="32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5"/>
      <c r="C121" s="25"/>
      <c r="D121" s="25"/>
      <c r="E121" s="25"/>
      <c r="F121" s="32"/>
      <c r="G121" s="32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5"/>
      <c r="C122" s="25"/>
      <c r="D122" s="25"/>
      <c r="E122" s="25"/>
      <c r="F122" s="32"/>
      <c r="G122" s="32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5"/>
      <c r="C123" s="25"/>
      <c r="D123" s="25"/>
      <c r="E123" s="25"/>
      <c r="F123" s="32"/>
      <c r="G123" s="32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5"/>
      <c r="C124" s="25"/>
      <c r="D124" s="25"/>
      <c r="E124" s="25"/>
      <c r="F124" s="32"/>
      <c r="G124" s="32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5"/>
      <c r="C125" s="25"/>
      <c r="D125" s="25"/>
      <c r="E125" s="25"/>
      <c r="F125" s="32"/>
      <c r="G125" s="32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5"/>
      <c r="C126" s="25"/>
      <c r="D126" s="25"/>
      <c r="E126" s="25"/>
      <c r="F126" s="32"/>
      <c r="G126" s="32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25"/>
      <c r="C127" s="25"/>
      <c r="D127" s="25"/>
      <c r="E127" s="25"/>
      <c r="F127" s="32"/>
      <c r="G127" s="32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5"/>
      <c r="C128" s="25"/>
      <c r="D128" s="25"/>
      <c r="E128" s="25"/>
      <c r="F128" s="32"/>
      <c r="G128" s="32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5"/>
      <c r="C129" s="25"/>
      <c r="D129" s="25"/>
      <c r="E129" s="25"/>
      <c r="F129" s="32"/>
      <c r="G129" s="32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5"/>
      <c r="C130" s="25"/>
      <c r="D130" s="25"/>
      <c r="E130" s="25"/>
      <c r="F130" s="32"/>
      <c r="G130" s="32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5"/>
      <c r="C131" s="25"/>
      <c r="D131" s="25"/>
      <c r="E131" s="25"/>
      <c r="F131" s="32"/>
      <c r="G131" s="32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5"/>
      <c r="C132" s="25"/>
      <c r="D132" s="25"/>
      <c r="E132" s="25"/>
      <c r="F132" s="32"/>
      <c r="G132" s="32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5"/>
      <c r="C133" s="25"/>
      <c r="D133" s="25"/>
      <c r="E133" s="25"/>
      <c r="F133" s="32"/>
      <c r="G133" s="32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5"/>
      <c r="C134" s="25"/>
      <c r="D134" s="25"/>
      <c r="E134" s="25"/>
      <c r="F134" s="32"/>
      <c r="G134" s="32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5"/>
      <c r="C135" s="25"/>
      <c r="D135" s="25"/>
      <c r="E135" s="25"/>
      <c r="F135" s="32"/>
      <c r="G135" s="32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5"/>
      <c r="C136" s="25"/>
      <c r="D136" s="25"/>
      <c r="E136" s="25"/>
      <c r="F136" s="32"/>
      <c r="G136" s="32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5"/>
      <c r="C137" s="25"/>
      <c r="D137" s="25"/>
      <c r="E137" s="25"/>
      <c r="F137" s="32"/>
      <c r="G137" s="32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5"/>
      <c r="C138" s="25"/>
      <c r="D138" s="25"/>
      <c r="E138" s="25"/>
      <c r="F138" s="32"/>
      <c r="G138" s="32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5"/>
      <c r="C139" s="25"/>
      <c r="D139" s="25"/>
      <c r="E139" s="25"/>
      <c r="F139" s="32"/>
      <c r="G139" s="32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5"/>
      <c r="C140" s="25"/>
      <c r="D140" s="25"/>
      <c r="E140" s="25"/>
      <c r="F140" s="32"/>
      <c r="G140" s="32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5"/>
      <c r="C141" s="25"/>
      <c r="D141" s="25"/>
      <c r="E141" s="25"/>
      <c r="F141" s="32"/>
      <c r="G141" s="32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5"/>
      <c r="C142" s="25"/>
      <c r="D142" s="25"/>
      <c r="E142" s="25"/>
      <c r="F142" s="32"/>
      <c r="G142" s="32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5"/>
      <c r="C143" s="25"/>
      <c r="D143" s="25"/>
      <c r="E143" s="25"/>
      <c r="F143" s="32"/>
      <c r="G143" s="32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5"/>
      <c r="C144" s="25"/>
      <c r="D144" s="25"/>
      <c r="E144" s="25"/>
      <c r="F144" s="32"/>
      <c r="G144" s="32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5"/>
      <c r="C145" s="25"/>
      <c r="D145" s="25"/>
      <c r="E145" s="25"/>
      <c r="F145" s="32"/>
      <c r="G145" s="32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25"/>
      <c r="C146" s="25"/>
      <c r="D146" s="25"/>
      <c r="E146" s="25"/>
      <c r="F146" s="32"/>
      <c r="G146" s="32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25"/>
      <c r="C147" s="25"/>
      <c r="D147" s="25"/>
      <c r="E147" s="25"/>
      <c r="F147" s="32"/>
      <c r="G147" s="32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25"/>
      <c r="C148" s="25"/>
      <c r="D148" s="25"/>
      <c r="E148" s="25"/>
      <c r="F148" s="32"/>
      <c r="G148" s="32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25"/>
      <c r="C149" s="25"/>
      <c r="D149" s="25"/>
      <c r="E149" s="25"/>
      <c r="F149" s="32"/>
      <c r="G149" s="32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25"/>
      <c r="C150" s="25"/>
      <c r="D150" s="25"/>
      <c r="E150" s="25"/>
      <c r="F150" s="32"/>
      <c r="G150" s="32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25"/>
      <c r="C151" s="25"/>
      <c r="D151" s="25"/>
      <c r="E151" s="25"/>
      <c r="F151" s="32"/>
      <c r="G151" s="32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25"/>
      <c r="C152" s="25"/>
      <c r="D152" s="25"/>
      <c r="E152" s="25"/>
      <c r="F152" s="32"/>
      <c r="G152" s="32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25"/>
      <c r="C153" s="25"/>
      <c r="D153" s="25"/>
      <c r="E153" s="25"/>
      <c r="F153" s="32"/>
      <c r="G153" s="32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25"/>
      <c r="C154" s="25"/>
      <c r="D154" s="25"/>
      <c r="E154" s="25"/>
      <c r="F154" s="32"/>
      <c r="G154" s="32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25"/>
      <c r="C155" s="25"/>
      <c r="D155" s="25"/>
      <c r="E155" s="25"/>
      <c r="F155" s="32"/>
      <c r="G155" s="32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25"/>
      <c r="C156" s="25"/>
      <c r="D156" s="25"/>
      <c r="E156" s="25"/>
      <c r="F156" s="32"/>
      <c r="G156" s="32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25"/>
      <c r="C157" s="25"/>
      <c r="D157" s="25"/>
      <c r="E157" s="25"/>
      <c r="F157" s="32"/>
      <c r="G157" s="32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25"/>
      <c r="C158" s="25"/>
      <c r="D158" s="25"/>
      <c r="E158" s="25"/>
      <c r="F158" s="32"/>
      <c r="G158" s="32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25"/>
      <c r="C159" s="25"/>
      <c r="D159" s="25"/>
      <c r="E159" s="25"/>
      <c r="F159" s="32"/>
      <c r="G159" s="32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25"/>
      <c r="C160" s="25"/>
      <c r="D160" s="25"/>
      <c r="E160" s="25"/>
      <c r="F160" s="32"/>
      <c r="G160" s="32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25"/>
      <c r="C161" s="25"/>
      <c r="D161" s="25"/>
      <c r="E161" s="25"/>
      <c r="F161" s="32"/>
      <c r="G161" s="32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25"/>
      <c r="C162" s="25"/>
      <c r="D162" s="25"/>
      <c r="E162" s="25"/>
      <c r="F162" s="32"/>
      <c r="G162" s="32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25"/>
      <c r="C163" s="25"/>
      <c r="D163" s="25"/>
      <c r="E163" s="25"/>
      <c r="F163" s="32"/>
      <c r="G163" s="32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25"/>
      <c r="C164" s="25"/>
      <c r="D164" s="25"/>
      <c r="E164" s="25"/>
      <c r="F164" s="32"/>
      <c r="G164" s="32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25"/>
      <c r="C165" s="25"/>
      <c r="D165" s="25"/>
      <c r="E165" s="25"/>
      <c r="F165" s="32"/>
      <c r="G165" s="32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25"/>
      <c r="C166" s="25"/>
      <c r="D166" s="25"/>
      <c r="E166" s="25"/>
      <c r="F166" s="32"/>
      <c r="G166" s="32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25"/>
      <c r="C167" s="25"/>
      <c r="D167" s="25"/>
      <c r="E167" s="25"/>
      <c r="F167" s="32"/>
      <c r="G167" s="32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25"/>
      <c r="C168" s="25"/>
      <c r="D168" s="25"/>
      <c r="E168" s="25"/>
      <c r="F168" s="32"/>
      <c r="G168" s="32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25"/>
      <c r="C169" s="25"/>
      <c r="D169" s="25"/>
      <c r="E169" s="25"/>
      <c r="F169" s="32"/>
      <c r="G169" s="32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25"/>
      <c r="C170" s="25"/>
      <c r="D170" s="25"/>
      <c r="E170" s="25"/>
      <c r="F170" s="32"/>
      <c r="G170" s="32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25"/>
      <c r="C171" s="25"/>
      <c r="D171" s="25"/>
      <c r="E171" s="25"/>
      <c r="F171" s="32"/>
      <c r="G171" s="32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25"/>
      <c r="C172" s="25"/>
      <c r="D172" s="25"/>
      <c r="E172" s="25"/>
      <c r="F172" s="32"/>
      <c r="G172" s="32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25"/>
      <c r="C173" s="25"/>
      <c r="D173" s="25"/>
      <c r="E173" s="25"/>
      <c r="F173" s="32"/>
      <c r="G173" s="32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25"/>
      <c r="C174" s="25"/>
      <c r="D174" s="25"/>
      <c r="E174" s="25"/>
      <c r="F174" s="32"/>
      <c r="G174" s="32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25"/>
      <c r="C175" s="25"/>
      <c r="D175" s="25"/>
      <c r="E175" s="25"/>
      <c r="F175" s="32"/>
      <c r="G175" s="32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25"/>
      <c r="C176" s="25"/>
      <c r="D176" s="25"/>
      <c r="E176" s="25"/>
      <c r="F176" s="32"/>
      <c r="G176" s="32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25"/>
      <c r="C177" s="25"/>
      <c r="D177" s="25"/>
      <c r="E177" s="25"/>
      <c r="F177" s="32"/>
      <c r="G177" s="32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25"/>
      <c r="C178" s="25"/>
      <c r="D178" s="25"/>
      <c r="E178" s="25"/>
      <c r="F178" s="32"/>
      <c r="G178" s="32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25"/>
      <c r="C179" s="25"/>
      <c r="D179" s="25"/>
      <c r="E179" s="25"/>
      <c r="F179" s="32"/>
      <c r="G179" s="32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25"/>
      <c r="C180" s="25"/>
      <c r="D180" s="25"/>
      <c r="E180" s="25"/>
      <c r="F180" s="32"/>
      <c r="G180" s="32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25"/>
      <c r="C181" s="25"/>
      <c r="D181" s="25"/>
      <c r="E181" s="25"/>
      <c r="F181" s="32"/>
      <c r="G181" s="32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25"/>
      <c r="C182" s="25"/>
      <c r="D182" s="25"/>
      <c r="E182" s="25"/>
      <c r="F182" s="32"/>
      <c r="G182" s="32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5"/>
      <c r="C183" s="25"/>
      <c r="D183" s="25"/>
      <c r="E183" s="25"/>
      <c r="F183" s="32"/>
      <c r="G183" s="32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25"/>
      <c r="C184" s="25"/>
      <c r="D184" s="25"/>
      <c r="E184" s="25"/>
      <c r="F184" s="32"/>
      <c r="G184" s="32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25"/>
      <c r="C185" s="25"/>
      <c r="D185" s="25"/>
      <c r="E185" s="25"/>
      <c r="F185" s="32"/>
      <c r="G185" s="32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25"/>
      <c r="C186" s="25"/>
      <c r="D186" s="25"/>
      <c r="E186" s="25"/>
      <c r="F186" s="32"/>
      <c r="G186" s="32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25"/>
      <c r="C187" s="25"/>
      <c r="D187" s="25"/>
      <c r="E187" s="25"/>
      <c r="F187" s="32"/>
      <c r="G187" s="32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5"/>
      <c r="C188" s="25"/>
      <c r="D188" s="25"/>
      <c r="E188" s="25"/>
      <c r="F188" s="32"/>
      <c r="G188" s="32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25"/>
      <c r="C189" s="25"/>
      <c r="D189" s="25"/>
      <c r="E189" s="25"/>
      <c r="F189" s="32"/>
      <c r="G189" s="32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25"/>
      <c r="C190" s="25"/>
      <c r="D190" s="25"/>
      <c r="E190" s="25"/>
      <c r="F190" s="32"/>
      <c r="G190" s="32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25"/>
      <c r="C191" s="25"/>
      <c r="D191" s="25"/>
      <c r="E191" s="25"/>
      <c r="F191" s="32"/>
      <c r="G191" s="32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25"/>
      <c r="C192" s="25"/>
      <c r="D192" s="25"/>
      <c r="E192" s="25"/>
      <c r="F192" s="32"/>
      <c r="G192" s="32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25"/>
      <c r="C193" s="25"/>
      <c r="D193" s="25"/>
      <c r="E193" s="25"/>
      <c r="F193" s="32"/>
      <c r="G193" s="32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25"/>
      <c r="C194" s="25"/>
      <c r="D194" s="25"/>
      <c r="E194" s="25"/>
      <c r="F194" s="32"/>
      <c r="G194" s="32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25"/>
      <c r="C195" s="25"/>
      <c r="D195" s="25"/>
      <c r="E195" s="25"/>
      <c r="F195" s="32"/>
      <c r="G195" s="32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25"/>
      <c r="C196" s="25"/>
      <c r="D196" s="25"/>
      <c r="E196" s="25"/>
      <c r="F196" s="32"/>
      <c r="G196" s="32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25"/>
      <c r="C197" s="25"/>
      <c r="D197" s="25"/>
      <c r="E197" s="25"/>
      <c r="F197" s="32"/>
      <c r="G197" s="32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25"/>
      <c r="C198" s="25"/>
      <c r="D198" s="25"/>
      <c r="E198" s="25"/>
      <c r="F198" s="32"/>
      <c r="G198" s="32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25"/>
      <c r="C199" s="25"/>
      <c r="D199" s="25"/>
      <c r="E199" s="25"/>
      <c r="F199" s="32"/>
      <c r="G199" s="32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25"/>
      <c r="C200" s="25"/>
      <c r="D200" s="25"/>
      <c r="E200" s="25"/>
      <c r="F200" s="32"/>
      <c r="G200" s="32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5"/>
      <c r="C201" s="25"/>
      <c r="D201" s="25"/>
      <c r="E201" s="25"/>
      <c r="F201" s="32"/>
      <c r="G201" s="32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25"/>
      <c r="C202" s="25"/>
      <c r="D202" s="25"/>
      <c r="E202" s="25"/>
      <c r="F202" s="32"/>
      <c r="G202" s="32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25"/>
      <c r="C203" s="25"/>
      <c r="D203" s="25"/>
      <c r="E203" s="25"/>
      <c r="F203" s="32"/>
      <c r="G203" s="32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25"/>
      <c r="C204" s="25"/>
      <c r="D204" s="25"/>
      <c r="E204" s="25"/>
      <c r="F204" s="32"/>
      <c r="G204" s="32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25"/>
      <c r="C205" s="25"/>
      <c r="D205" s="25"/>
      <c r="E205" s="25"/>
      <c r="F205" s="32"/>
      <c r="G205" s="32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25"/>
      <c r="C206" s="25"/>
      <c r="D206" s="25"/>
      <c r="E206" s="25"/>
      <c r="F206" s="32"/>
      <c r="G206" s="32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25"/>
      <c r="C207" s="25"/>
      <c r="D207" s="25"/>
      <c r="E207" s="25"/>
      <c r="F207" s="32"/>
      <c r="G207" s="32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25"/>
      <c r="C208" s="25"/>
      <c r="D208" s="25"/>
      <c r="E208" s="25"/>
      <c r="F208" s="32"/>
      <c r="G208" s="32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25"/>
      <c r="C209" s="25"/>
      <c r="D209" s="25"/>
      <c r="E209" s="25"/>
      <c r="F209" s="32"/>
      <c r="G209" s="32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25"/>
      <c r="C210" s="25"/>
      <c r="D210" s="25"/>
      <c r="E210" s="25"/>
      <c r="F210" s="32"/>
      <c r="G210" s="32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25"/>
      <c r="C211" s="25"/>
      <c r="D211" s="25"/>
      <c r="E211" s="25"/>
      <c r="F211" s="32"/>
      <c r="G211" s="32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25"/>
      <c r="C212" s="25"/>
      <c r="D212" s="25"/>
      <c r="E212" s="25"/>
      <c r="F212" s="32"/>
      <c r="G212" s="32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25"/>
      <c r="C213" s="25"/>
      <c r="D213" s="25"/>
      <c r="E213" s="25"/>
      <c r="F213" s="32"/>
      <c r="G213" s="32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25"/>
      <c r="C214" s="25"/>
      <c r="D214" s="25"/>
      <c r="E214" s="25"/>
      <c r="F214" s="32"/>
      <c r="G214" s="32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25"/>
      <c r="C215" s="25"/>
      <c r="D215" s="25"/>
      <c r="E215" s="25"/>
      <c r="F215" s="32"/>
      <c r="G215" s="32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25"/>
      <c r="C216" s="25"/>
      <c r="D216" s="25"/>
      <c r="E216" s="25"/>
      <c r="F216" s="32"/>
      <c r="G216" s="32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25"/>
      <c r="C217" s="25"/>
      <c r="D217" s="25"/>
      <c r="E217" s="25"/>
      <c r="F217" s="32"/>
      <c r="G217" s="32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25"/>
      <c r="C218" s="25"/>
      <c r="D218" s="25"/>
      <c r="E218" s="25"/>
      <c r="F218" s="32"/>
      <c r="G218" s="32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25"/>
      <c r="C219" s="25"/>
      <c r="D219" s="25"/>
      <c r="E219" s="25"/>
      <c r="F219" s="32"/>
      <c r="G219" s="32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25"/>
      <c r="C220" s="25"/>
      <c r="D220" s="25"/>
      <c r="E220" s="25"/>
      <c r="F220" s="32"/>
      <c r="G220" s="32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25"/>
      <c r="C221" s="25"/>
      <c r="D221" s="25"/>
      <c r="E221" s="25"/>
      <c r="F221" s="32"/>
      <c r="G221" s="32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25"/>
      <c r="C222" s="25"/>
      <c r="D222" s="25"/>
      <c r="E222" s="25"/>
      <c r="F222" s="32"/>
      <c r="G222" s="32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5"/>
      <c r="C223" s="25"/>
      <c r="D223" s="25"/>
      <c r="E223" s="25"/>
      <c r="F223" s="32"/>
      <c r="G223" s="32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5"/>
      <c r="C224" s="25"/>
      <c r="D224" s="25"/>
      <c r="E224" s="25"/>
      <c r="F224" s="32"/>
      <c r="G224" s="32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5"/>
      <c r="C225" s="25"/>
      <c r="D225" s="25"/>
      <c r="E225" s="25"/>
      <c r="F225" s="32"/>
      <c r="G225" s="32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5"/>
      <c r="C226" s="25"/>
      <c r="D226" s="25"/>
      <c r="E226" s="25"/>
      <c r="F226" s="32"/>
      <c r="G226" s="32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5"/>
      <c r="C227" s="25"/>
      <c r="D227" s="25"/>
      <c r="E227" s="25"/>
      <c r="F227" s="32"/>
      <c r="G227" s="32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5"/>
      <c r="C228" s="25"/>
      <c r="D228" s="25"/>
      <c r="E228" s="25"/>
      <c r="F228" s="32"/>
      <c r="G228" s="32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5"/>
      <c r="C229" s="25"/>
      <c r="D229" s="25"/>
      <c r="E229" s="25"/>
      <c r="F229" s="32"/>
      <c r="G229" s="32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5"/>
      <c r="C230" s="25"/>
      <c r="D230" s="25"/>
      <c r="E230" s="25"/>
      <c r="F230" s="32"/>
      <c r="G230" s="32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5"/>
      <c r="C231" s="25"/>
      <c r="D231" s="25"/>
      <c r="E231" s="25"/>
      <c r="F231" s="32"/>
      <c r="G231" s="32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5"/>
      <c r="C232" s="25"/>
      <c r="D232" s="25"/>
      <c r="E232" s="25"/>
      <c r="F232" s="32"/>
      <c r="G232" s="32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5"/>
      <c r="C233" s="25"/>
      <c r="D233" s="25"/>
      <c r="E233" s="25"/>
      <c r="F233" s="32"/>
      <c r="G233" s="32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5"/>
      <c r="C234" s="25"/>
      <c r="D234" s="25"/>
      <c r="E234" s="25"/>
      <c r="F234" s="32"/>
      <c r="G234" s="32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5"/>
      <c r="C235" s="25"/>
      <c r="D235" s="25"/>
      <c r="E235" s="25"/>
      <c r="F235" s="32"/>
      <c r="G235" s="32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5"/>
      <c r="C236" s="25"/>
      <c r="D236" s="25"/>
      <c r="E236" s="25"/>
      <c r="F236" s="32"/>
      <c r="G236" s="32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5"/>
      <c r="C237" s="25"/>
      <c r="D237" s="25"/>
      <c r="E237" s="25"/>
      <c r="F237" s="32"/>
      <c r="G237" s="32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5"/>
      <c r="C238" s="25"/>
      <c r="D238" s="25"/>
      <c r="E238" s="25"/>
      <c r="F238" s="32"/>
      <c r="G238" s="32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5"/>
      <c r="C239" s="25"/>
      <c r="D239" s="25"/>
      <c r="E239" s="25"/>
      <c r="F239" s="32"/>
      <c r="G239" s="32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5"/>
      <c r="C240" s="25"/>
      <c r="D240" s="25"/>
      <c r="E240" s="25"/>
      <c r="F240" s="32"/>
      <c r="G240" s="32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11.88"/>
    <col customWidth="1" min="3" max="3" width="15.38"/>
    <col customWidth="1" min="4" max="4" width="47.25"/>
    <col customWidth="1" min="6" max="7" width="8.63"/>
  </cols>
  <sheetData>
    <row r="1" ht="15.75" customHeight="1">
      <c r="A1" s="46"/>
      <c r="B1" s="46"/>
      <c r="C1" s="46"/>
      <c r="D1" s="46"/>
      <c r="E1" s="47"/>
      <c r="F1" s="47"/>
      <c r="G1" s="47"/>
    </row>
    <row r="2" ht="15.75" customHeight="1">
      <c r="A2" s="46"/>
      <c r="B2" s="46"/>
      <c r="C2" s="46"/>
      <c r="D2" s="46"/>
      <c r="E2" s="47"/>
      <c r="F2" s="47"/>
      <c r="G2" s="47"/>
    </row>
    <row r="3" ht="15.75" customHeight="1">
      <c r="A3" s="46"/>
      <c r="B3" s="46"/>
      <c r="C3" s="46"/>
      <c r="D3" s="46"/>
      <c r="E3" s="47"/>
      <c r="F3" s="47"/>
      <c r="G3" s="47"/>
    </row>
    <row r="4" ht="15.75" customHeight="1">
      <c r="A4" s="48" t="s">
        <v>4</v>
      </c>
      <c r="B4" s="48" t="s">
        <v>1009</v>
      </c>
      <c r="C4" s="48" t="s">
        <v>1010</v>
      </c>
      <c r="D4" s="48" t="s">
        <v>610</v>
      </c>
      <c r="E4" s="49" t="s">
        <v>1011</v>
      </c>
      <c r="F4" s="49" t="s">
        <v>1012</v>
      </c>
      <c r="G4" s="49" t="s">
        <v>1013</v>
      </c>
    </row>
    <row r="5" ht="15.75" customHeight="1">
      <c r="A5" s="50" t="s">
        <v>1014</v>
      </c>
      <c r="B5" s="50" t="s">
        <v>386</v>
      </c>
      <c r="C5" s="50" t="s">
        <v>386</v>
      </c>
      <c r="D5" s="50" t="str">
        <f>VLOOKUP(A5,Master!D:G,4,0)</f>
        <v>#N/A</v>
      </c>
      <c r="E5" s="51">
        <v>0.0</v>
      </c>
      <c r="F5" s="52">
        <f>E5+ SUMIF('InOut Inv'!F:H,$F$4&amp;A5,'InOut Inv'!H:H) - SUMIF('Daily Sales'!F:I,$F$4&amp;A5,'Daily Sales'!I:I)</f>
        <v>0</v>
      </c>
      <c r="G5" s="52">
        <f>F5+ SUMIF('InOut Inv'!G:I,$F$4&amp;B5,'InOut Inv'!I:I) - SUMIF('Daily Sales'!G:J,$F$4&amp;B5,'Daily Sales'!J:J)</f>
        <v>0</v>
      </c>
    </row>
    <row r="6" ht="15.75" customHeight="1">
      <c r="A6" s="50" t="s">
        <v>1015</v>
      </c>
      <c r="B6" s="50" t="s">
        <v>386</v>
      </c>
      <c r="C6" s="50" t="s">
        <v>386</v>
      </c>
      <c r="D6" s="50" t="str">
        <f>VLOOKUP(A6,Master!D:G,4,0)</f>
        <v>#N/A</v>
      </c>
      <c r="E6" s="53">
        <v>5.0</v>
      </c>
      <c r="F6" s="52">
        <f>E6+ SUMIF('InOut Inv'!F:H,$F$4&amp;A6,'InOut Inv'!H:H) - SUMIF('Daily Sales'!F:I,$F$4&amp;A6,'Daily Sales'!I:I)</f>
        <v>5</v>
      </c>
      <c r="G6" s="52">
        <f>F6+ SUMIF('InOut Inv'!G:I,$F$4&amp;B6,'InOut Inv'!I:I) - SUMIF('Daily Sales'!G:J,$F$4&amp;B6,'Daily Sales'!J:J)</f>
        <v>5</v>
      </c>
    </row>
    <row r="7" ht="15.75" customHeight="1">
      <c r="A7" s="50" t="s">
        <v>1016</v>
      </c>
      <c r="B7" s="50" t="s">
        <v>386</v>
      </c>
      <c r="C7" s="50" t="s">
        <v>386</v>
      </c>
      <c r="D7" s="50" t="str">
        <f>VLOOKUP(A7,Master!D:G,4,0)</f>
        <v>#N/A</v>
      </c>
      <c r="E7" s="51">
        <v>12.0</v>
      </c>
      <c r="F7" s="52">
        <f>E7+ SUMIF('InOut Inv'!F:H,$F$4&amp;A7,'InOut Inv'!H:H) - SUMIF('Daily Sales'!F:I,$F$4&amp;A7,'Daily Sales'!I:I)</f>
        <v>12</v>
      </c>
      <c r="G7" s="52">
        <f>F7+ SUMIF('InOut Inv'!G:I,$F$4&amp;B7,'InOut Inv'!I:I) - SUMIF('Daily Sales'!G:J,$F$4&amp;B7,'Daily Sales'!J:J)</f>
        <v>12</v>
      </c>
    </row>
    <row r="8" ht="15.75" customHeight="1">
      <c r="A8" s="50" t="s">
        <v>1017</v>
      </c>
      <c r="B8" s="50" t="s">
        <v>386</v>
      </c>
      <c r="C8" s="50" t="s">
        <v>386</v>
      </c>
      <c r="D8" s="50" t="str">
        <f>VLOOKUP(A8,Master!D:G,4,0)</f>
        <v>#N/A</v>
      </c>
      <c r="E8" s="54">
        <v>5.0</v>
      </c>
      <c r="F8" s="52">
        <f>E8+ SUMIF('InOut Inv'!F:H,$F$4&amp;A8,'InOut Inv'!H:H) - SUMIF('Daily Sales'!F:I,$F$4&amp;A8,'Daily Sales'!I:I)</f>
        <v>5</v>
      </c>
      <c r="G8" s="52">
        <f>F8+ SUMIF('InOut Inv'!G:I,$F$4&amp;B8,'InOut Inv'!I:I) - SUMIF('Daily Sales'!G:J,$F$4&amp;B8,'Daily Sales'!J:J)</f>
        <v>5</v>
      </c>
    </row>
    <row r="9" ht="15.75" customHeight="1">
      <c r="A9" s="50" t="s">
        <v>1018</v>
      </c>
      <c r="B9" s="50" t="s">
        <v>386</v>
      </c>
      <c r="C9" s="50" t="s">
        <v>386</v>
      </c>
      <c r="D9" s="50" t="str">
        <f>VLOOKUP(A9,Master!D:G,4,0)</f>
        <v>#N/A</v>
      </c>
      <c r="E9" s="51">
        <v>0.0</v>
      </c>
      <c r="F9" s="52">
        <f>E9+ SUMIF('InOut Inv'!F:H,$F$4&amp;A9,'InOut Inv'!H:H) - SUMIF('Daily Sales'!F:I,$F$4&amp;A9,'Daily Sales'!I:I)</f>
        <v>0</v>
      </c>
      <c r="G9" s="52">
        <f>F9+ SUMIF('InOut Inv'!G:I,$F$4&amp;B9,'InOut Inv'!I:I) - SUMIF('Daily Sales'!G:J,$F$4&amp;B9,'Daily Sales'!J:J)</f>
        <v>0</v>
      </c>
    </row>
    <row r="10" ht="15.75" customHeight="1">
      <c r="A10" s="50" t="s">
        <v>1019</v>
      </c>
      <c r="B10" s="50" t="s">
        <v>386</v>
      </c>
      <c r="C10" s="50" t="s">
        <v>386</v>
      </c>
      <c r="D10" s="50" t="str">
        <f>VLOOKUP(A10,Master!D:G,4,0)</f>
        <v>#N/A</v>
      </c>
      <c r="E10" s="53">
        <v>1.0</v>
      </c>
      <c r="F10" s="52">
        <f>E10+ SUMIF('InOut Inv'!F:H,$F$4&amp;A10,'InOut Inv'!H:H) - SUMIF('Daily Sales'!F:I,$F$4&amp;A10,'Daily Sales'!I:I)</f>
        <v>1</v>
      </c>
      <c r="G10" s="52">
        <f>F10+ SUMIF('InOut Inv'!G:I,$F$4&amp;B10,'InOut Inv'!I:I) - SUMIF('Daily Sales'!G:J,$F$4&amp;B10,'Daily Sales'!J:J)</f>
        <v>1</v>
      </c>
    </row>
    <row r="11" ht="15.75" customHeight="1">
      <c r="A11" s="50" t="s">
        <v>1020</v>
      </c>
      <c r="B11" s="50" t="s">
        <v>386</v>
      </c>
      <c r="C11" s="50" t="s">
        <v>386</v>
      </c>
      <c r="D11" s="50" t="str">
        <f>VLOOKUP(A11,Master!D:G,4,0)</f>
        <v>#N/A</v>
      </c>
      <c r="E11" s="51">
        <v>3.0</v>
      </c>
      <c r="F11" s="52">
        <f>E11+ SUMIF('InOut Inv'!F:H,$F$4&amp;A11,'InOut Inv'!H:H) - SUMIF('Daily Sales'!F:I,$F$4&amp;A11,'Daily Sales'!I:I)</f>
        <v>3</v>
      </c>
      <c r="G11" s="52">
        <f>F11+ SUMIF('InOut Inv'!G:I,$F$4&amp;B11,'InOut Inv'!I:I) - SUMIF('Daily Sales'!G:J,$F$4&amp;B11,'Daily Sales'!J:J)</f>
        <v>3</v>
      </c>
    </row>
    <row r="12" ht="15.75" customHeight="1">
      <c r="A12" s="50" t="s">
        <v>1021</v>
      </c>
      <c r="B12" s="50" t="s">
        <v>386</v>
      </c>
      <c r="C12" s="50" t="s">
        <v>386</v>
      </c>
      <c r="D12" s="50" t="str">
        <f>VLOOKUP(A12,Master!D:G,4,0)</f>
        <v>#N/A</v>
      </c>
      <c r="E12" s="53"/>
      <c r="F12" s="52">
        <f>E12+ SUMIF('InOut Inv'!F:H,$F$4&amp;A12,'InOut Inv'!H:H) - SUMIF('Daily Sales'!F:I,$F$4&amp;A12,'Daily Sales'!I:I)</f>
        <v>0</v>
      </c>
      <c r="G12" s="52">
        <f>F12+ SUMIF('InOut Inv'!G:I,$F$4&amp;B12,'InOut Inv'!I:I) - SUMIF('Daily Sales'!G:J,$F$4&amp;B12,'Daily Sales'!J:J)</f>
        <v>0</v>
      </c>
    </row>
    <row r="13" ht="15.75" customHeight="1">
      <c r="A13" s="50" t="s">
        <v>1022</v>
      </c>
      <c r="B13" s="50" t="s">
        <v>386</v>
      </c>
      <c r="C13" s="50" t="s">
        <v>386</v>
      </c>
      <c r="D13" s="50" t="str">
        <f>VLOOKUP(A13,Master!D:G,4,0)</f>
        <v>#N/A</v>
      </c>
      <c r="E13" s="51"/>
      <c r="F13" s="52">
        <f>E13+ SUMIF('InOut Inv'!F:H,$F$4&amp;A13,'InOut Inv'!H:H) - SUMIF('Daily Sales'!F:I,$F$4&amp;A13,'Daily Sales'!I:I)</f>
        <v>0</v>
      </c>
      <c r="G13" s="52">
        <f>F13+ SUMIF('InOut Inv'!G:I,$F$4&amp;B13,'InOut Inv'!I:I) - SUMIF('Daily Sales'!G:J,$F$4&amp;B13,'Daily Sales'!J:J)</f>
        <v>0</v>
      </c>
    </row>
    <row r="14" ht="15.75" customHeight="1">
      <c r="A14" s="50" t="s">
        <v>1023</v>
      </c>
      <c r="B14" s="50" t="s">
        <v>386</v>
      </c>
      <c r="C14" s="50" t="s">
        <v>386</v>
      </c>
      <c r="D14" s="50" t="str">
        <f>VLOOKUP(A14,Master!D:G,4,0)</f>
        <v>#N/A</v>
      </c>
      <c r="E14" s="53">
        <v>0.0</v>
      </c>
      <c r="F14" s="52">
        <f>E14+ SUMIF('InOut Inv'!F:H,$F$4&amp;A14,'InOut Inv'!H:H) - SUMIF('Daily Sales'!F:I,$F$4&amp;A14,'Daily Sales'!I:I)</f>
        <v>0</v>
      </c>
      <c r="G14" s="52">
        <f>F14+ SUMIF('InOut Inv'!G:I,$F$4&amp;B14,'InOut Inv'!I:I) - SUMIF('Daily Sales'!G:J,$F$4&amp;B14,'Daily Sales'!J:J)</f>
        <v>0</v>
      </c>
    </row>
    <row r="15" ht="15.75" customHeight="1">
      <c r="A15" s="50" t="s">
        <v>1024</v>
      </c>
      <c r="B15" s="50" t="s">
        <v>386</v>
      </c>
      <c r="C15" s="50" t="s">
        <v>386</v>
      </c>
      <c r="D15" s="50" t="str">
        <f>VLOOKUP(A15,Master!D:G,4,0)</f>
        <v>#N/A</v>
      </c>
      <c r="E15" s="51">
        <v>3.0</v>
      </c>
      <c r="F15" s="52">
        <f>E15+ SUMIF('InOut Inv'!F:H,$F$4&amp;A15,'InOut Inv'!H:H) - SUMIF('Daily Sales'!F:I,$F$4&amp;A15,'Daily Sales'!I:I)</f>
        <v>3</v>
      </c>
      <c r="G15" s="52">
        <f>F15+ SUMIF('InOut Inv'!G:I,$F$4&amp;B15,'InOut Inv'!I:I) - SUMIF('Daily Sales'!G:J,$F$4&amp;B15,'Daily Sales'!J:J)</f>
        <v>3</v>
      </c>
    </row>
    <row r="16" ht="15.75" customHeight="1">
      <c r="A16" s="50" t="s">
        <v>1025</v>
      </c>
      <c r="B16" s="50" t="s">
        <v>386</v>
      </c>
      <c r="C16" s="50" t="s">
        <v>386</v>
      </c>
      <c r="D16" s="50" t="str">
        <f>VLOOKUP(A16,Master!D:G,4,0)</f>
        <v>#N/A</v>
      </c>
      <c r="E16" s="53">
        <v>8.0</v>
      </c>
      <c r="F16" s="52">
        <f>E16+ SUMIF('InOut Inv'!F:H,$F$4&amp;A16,'InOut Inv'!H:H) - SUMIF('Daily Sales'!F:I,$F$4&amp;A16,'Daily Sales'!I:I)</f>
        <v>8</v>
      </c>
      <c r="G16" s="52">
        <f>F16+ SUMIF('InOut Inv'!G:I,$F$4&amp;B16,'InOut Inv'!I:I) - SUMIF('Daily Sales'!G:J,$F$4&amp;B16,'Daily Sales'!J:J)</f>
        <v>8</v>
      </c>
    </row>
    <row r="17" ht="15.75" customHeight="1">
      <c r="A17" s="50" t="s">
        <v>1026</v>
      </c>
      <c r="B17" s="50" t="s">
        <v>386</v>
      </c>
      <c r="C17" s="50" t="s">
        <v>386</v>
      </c>
      <c r="D17" s="50" t="str">
        <f>VLOOKUP(A17,Master!D:G,4,0)</f>
        <v>#N/A</v>
      </c>
      <c r="E17" s="51">
        <v>2.0</v>
      </c>
      <c r="F17" s="52">
        <f>E17+ SUMIF('InOut Inv'!F:H,$F$4&amp;A17,'InOut Inv'!H:H) - SUMIF('Daily Sales'!F:I,$F$4&amp;A17,'Daily Sales'!I:I)</f>
        <v>2</v>
      </c>
      <c r="G17" s="52">
        <f>F17+ SUMIF('InOut Inv'!G:I,$F$4&amp;B17,'InOut Inv'!I:I) - SUMIF('Daily Sales'!G:J,$F$4&amp;B17,'Daily Sales'!J:J)</f>
        <v>2</v>
      </c>
    </row>
    <row r="18" ht="15.75" customHeight="1">
      <c r="A18" s="50" t="s">
        <v>1027</v>
      </c>
      <c r="B18" s="50" t="s">
        <v>386</v>
      </c>
      <c r="C18" s="50" t="s">
        <v>386</v>
      </c>
      <c r="D18" s="50" t="str">
        <f>VLOOKUP(A18,Master!D:G,4,0)</f>
        <v>#N/A</v>
      </c>
      <c r="E18" s="53">
        <v>2.0</v>
      </c>
      <c r="F18" s="52">
        <f>E18+ SUMIF('InOut Inv'!F:H,$F$4&amp;A18,'InOut Inv'!H:H) - SUMIF('Daily Sales'!F:I,$F$4&amp;A18,'Daily Sales'!I:I)</f>
        <v>2</v>
      </c>
      <c r="G18" s="52">
        <f>F18+ SUMIF('InOut Inv'!G:I,$F$4&amp;B18,'InOut Inv'!I:I) - SUMIF('Daily Sales'!G:J,$F$4&amp;B18,'Daily Sales'!J:J)</f>
        <v>2</v>
      </c>
    </row>
    <row r="19" ht="15.75" customHeight="1">
      <c r="A19" s="50" t="s">
        <v>1028</v>
      </c>
      <c r="B19" s="50" t="s">
        <v>386</v>
      </c>
      <c r="C19" s="50" t="s">
        <v>386</v>
      </c>
      <c r="D19" s="50" t="str">
        <f>VLOOKUP(A19,Master!D:G,4,0)</f>
        <v>#N/A</v>
      </c>
      <c r="E19" s="51">
        <v>17.0</v>
      </c>
      <c r="F19" s="52">
        <f>E19+ SUMIF('InOut Inv'!F:H,$F$4&amp;A19,'InOut Inv'!H:H) - SUMIF('Daily Sales'!F:I,$F$4&amp;A19,'Daily Sales'!I:I)</f>
        <v>17</v>
      </c>
      <c r="G19" s="52">
        <f>F19+ SUMIF('InOut Inv'!G:I,$F$4&amp;B19,'InOut Inv'!I:I) - SUMIF('Daily Sales'!G:J,$F$4&amp;B19,'Daily Sales'!J:J)</f>
        <v>17</v>
      </c>
    </row>
    <row r="20" ht="15.75" customHeight="1">
      <c r="A20" s="50" t="s">
        <v>1029</v>
      </c>
      <c r="B20" s="50" t="s">
        <v>386</v>
      </c>
      <c r="C20" s="50" t="s">
        <v>386</v>
      </c>
      <c r="D20" s="50" t="str">
        <f>VLOOKUP(A20,Master!D:G,4,0)</f>
        <v>#N/A</v>
      </c>
      <c r="E20" s="53">
        <v>9.0</v>
      </c>
      <c r="F20" s="52">
        <f>E20+ SUMIF('InOut Inv'!F:H,$F$4&amp;A20,'InOut Inv'!H:H) - SUMIF('Daily Sales'!F:I,$F$4&amp;A20,'Daily Sales'!I:I)</f>
        <v>9</v>
      </c>
      <c r="G20" s="52">
        <f>F20+ SUMIF('InOut Inv'!G:I,$F$4&amp;B20,'InOut Inv'!I:I) - SUMIF('Daily Sales'!G:J,$F$4&amp;B20,'Daily Sales'!J:J)</f>
        <v>9</v>
      </c>
    </row>
    <row r="21" ht="15.75" customHeight="1">
      <c r="A21" s="50" t="s">
        <v>1030</v>
      </c>
      <c r="B21" s="50" t="s">
        <v>386</v>
      </c>
      <c r="C21" s="50" t="s">
        <v>386</v>
      </c>
      <c r="D21" s="50" t="str">
        <f>VLOOKUP(A21,Master!D:G,4,0)</f>
        <v>#N/A</v>
      </c>
      <c r="E21" s="51">
        <v>0.0</v>
      </c>
      <c r="F21" s="52">
        <f>E21+ SUMIF('InOut Inv'!F:H,$F$4&amp;A21,'InOut Inv'!H:H) - SUMIF('Daily Sales'!F:I,$F$4&amp;A21,'Daily Sales'!I:I)</f>
        <v>0</v>
      </c>
      <c r="G21" s="52">
        <f>F21+ SUMIF('InOut Inv'!G:I,$F$4&amp;B21,'InOut Inv'!I:I) - SUMIF('Daily Sales'!G:J,$F$4&amp;B21,'Daily Sales'!J:J)</f>
        <v>0</v>
      </c>
    </row>
    <row r="22" ht="15.75" customHeight="1">
      <c r="A22" s="50" t="s">
        <v>1031</v>
      </c>
      <c r="B22" s="50" t="s">
        <v>386</v>
      </c>
      <c r="C22" s="50" t="s">
        <v>386</v>
      </c>
      <c r="D22" s="50" t="str">
        <f>VLOOKUP(A22,Master!D:G,4,0)</f>
        <v>#N/A</v>
      </c>
      <c r="E22" s="53">
        <v>0.0</v>
      </c>
      <c r="F22" s="52">
        <f>E22+ SUMIF('InOut Inv'!F:H,$F$4&amp;A22,'InOut Inv'!H:H) - SUMIF('Daily Sales'!F:I,$F$4&amp;A22,'Daily Sales'!I:I)</f>
        <v>0</v>
      </c>
      <c r="G22" s="52">
        <f>F22+ SUMIF('InOut Inv'!G:I,$F$4&amp;B22,'InOut Inv'!I:I) - SUMIF('Daily Sales'!G:J,$F$4&amp;B22,'Daily Sales'!J:J)</f>
        <v>0</v>
      </c>
    </row>
    <row r="23" ht="15.75" customHeight="1">
      <c r="A23" s="50" t="s">
        <v>1032</v>
      </c>
      <c r="B23" s="50" t="s">
        <v>386</v>
      </c>
      <c r="C23" s="50" t="s">
        <v>386</v>
      </c>
      <c r="D23" s="50" t="str">
        <f>VLOOKUP(A23,Master!D:G,4,0)</f>
        <v>#N/A</v>
      </c>
      <c r="E23" s="51">
        <v>4.0</v>
      </c>
      <c r="F23" s="52">
        <f>E23+ SUMIF('InOut Inv'!F:H,$F$4&amp;A23,'InOut Inv'!H:H) - SUMIF('Daily Sales'!F:I,$F$4&amp;A23,'Daily Sales'!I:I)</f>
        <v>4</v>
      </c>
      <c r="G23" s="52">
        <f>F23+ SUMIF('InOut Inv'!G:I,$F$4&amp;B23,'InOut Inv'!I:I) - SUMIF('Daily Sales'!G:J,$F$4&amp;B23,'Daily Sales'!J:J)</f>
        <v>4</v>
      </c>
    </row>
    <row r="24" ht="15.75" customHeight="1">
      <c r="A24" s="50" t="s">
        <v>1033</v>
      </c>
      <c r="B24" s="50" t="s">
        <v>386</v>
      </c>
      <c r="C24" s="50" t="s">
        <v>386</v>
      </c>
      <c r="D24" s="50" t="str">
        <f>VLOOKUP(A24,Master!D:G,4,0)</f>
        <v>#N/A</v>
      </c>
      <c r="E24" s="53">
        <v>0.0</v>
      </c>
      <c r="F24" s="52">
        <f>E24+ SUMIF('InOut Inv'!F:H,$F$4&amp;A24,'InOut Inv'!H:H) - SUMIF('Daily Sales'!F:I,$F$4&amp;A24,'Daily Sales'!I:I)</f>
        <v>0</v>
      </c>
      <c r="G24" s="52">
        <f>F24+ SUMIF('InOut Inv'!G:I,$F$4&amp;B24,'InOut Inv'!I:I) - SUMIF('Daily Sales'!G:J,$F$4&amp;B24,'Daily Sales'!J:J)</f>
        <v>0</v>
      </c>
    </row>
    <row r="25" ht="15.75" customHeight="1">
      <c r="A25" s="50" t="s">
        <v>1034</v>
      </c>
      <c r="B25" s="50" t="s">
        <v>386</v>
      </c>
      <c r="C25" s="50" t="s">
        <v>386</v>
      </c>
      <c r="D25" s="50" t="str">
        <f>VLOOKUP(A25,Master!D:G,4,0)</f>
        <v>#N/A</v>
      </c>
      <c r="E25" s="51">
        <v>3.0</v>
      </c>
      <c r="F25" s="52">
        <f>E25+ SUMIF('InOut Inv'!F:H,$F$4&amp;A25,'InOut Inv'!H:H) - SUMIF('Daily Sales'!F:I,$F$4&amp;A25,'Daily Sales'!I:I)</f>
        <v>3</v>
      </c>
      <c r="G25" s="52">
        <f>F25+ SUMIF('InOut Inv'!G:I,$F$4&amp;B25,'InOut Inv'!I:I) - SUMIF('Daily Sales'!G:J,$F$4&amp;B25,'Daily Sales'!J:J)</f>
        <v>3</v>
      </c>
    </row>
    <row r="26" ht="15.75" customHeight="1">
      <c r="A26" s="50" t="s">
        <v>1035</v>
      </c>
      <c r="B26" s="50" t="s">
        <v>386</v>
      </c>
      <c r="C26" s="50" t="s">
        <v>386</v>
      </c>
      <c r="D26" s="50" t="str">
        <f>VLOOKUP(A26,Master!D:G,4,0)</f>
        <v>#N/A</v>
      </c>
      <c r="E26" s="53">
        <v>24.0</v>
      </c>
      <c r="F26" s="52">
        <f>E26+ SUMIF('InOut Inv'!F:H,$F$4&amp;A26,'InOut Inv'!H:H) - SUMIF('Daily Sales'!F:I,$F$4&amp;A26,'Daily Sales'!I:I)</f>
        <v>24</v>
      </c>
      <c r="G26" s="52">
        <f>F26+ SUMIF('InOut Inv'!G:I,$F$4&amp;B26,'InOut Inv'!I:I) - SUMIF('Daily Sales'!G:J,$F$4&amp;B26,'Daily Sales'!J:J)</f>
        <v>24</v>
      </c>
    </row>
    <row r="27" ht="15.75" customHeight="1">
      <c r="A27" s="50" t="s">
        <v>1036</v>
      </c>
      <c r="B27" s="50" t="s">
        <v>386</v>
      </c>
      <c r="C27" s="50" t="s">
        <v>386</v>
      </c>
      <c r="D27" s="50" t="str">
        <f>VLOOKUP(A27,Master!D:G,4,0)</f>
        <v>#N/A</v>
      </c>
      <c r="E27" s="51">
        <v>0.0</v>
      </c>
      <c r="F27" s="52">
        <f>E27+ SUMIF('InOut Inv'!F:H,$F$4&amp;A27,'InOut Inv'!H:H) - SUMIF('Daily Sales'!F:I,$F$4&amp;A27,'Daily Sales'!I:I)</f>
        <v>0</v>
      </c>
      <c r="G27" s="52">
        <f>F27+ SUMIF('InOut Inv'!G:I,$F$4&amp;B27,'InOut Inv'!I:I) - SUMIF('Daily Sales'!G:J,$F$4&amp;B27,'Daily Sales'!J:J)</f>
        <v>0</v>
      </c>
    </row>
    <row r="28" ht="15.75" customHeight="1">
      <c r="A28" s="50" t="s">
        <v>1037</v>
      </c>
      <c r="B28" s="50" t="s">
        <v>386</v>
      </c>
      <c r="C28" s="50" t="s">
        <v>386</v>
      </c>
      <c r="D28" s="50" t="str">
        <f>VLOOKUP(A28,Master!D:G,4,0)</f>
        <v>#N/A</v>
      </c>
      <c r="E28" s="53">
        <v>3.0</v>
      </c>
      <c r="F28" s="52">
        <f>E28+ SUMIF('InOut Inv'!F:H,$F$4&amp;A28,'InOut Inv'!H:H) - SUMIF('Daily Sales'!F:I,$F$4&amp;A28,'Daily Sales'!I:I)</f>
        <v>3</v>
      </c>
      <c r="G28" s="52">
        <f>F28+ SUMIF('InOut Inv'!G:I,$F$4&amp;B28,'InOut Inv'!I:I) - SUMIF('Daily Sales'!G:J,$F$4&amp;B28,'Daily Sales'!J:J)</f>
        <v>3</v>
      </c>
    </row>
    <row r="29" ht="15.75" customHeight="1">
      <c r="A29" s="50" t="s">
        <v>1038</v>
      </c>
      <c r="B29" s="50" t="s">
        <v>386</v>
      </c>
      <c r="C29" s="50" t="s">
        <v>386</v>
      </c>
      <c r="D29" s="50" t="str">
        <f>VLOOKUP(A29,Master!D:G,4,0)</f>
        <v>#N/A</v>
      </c>
      <c r="E29" s="51">
        <v>14.0</v>
      </c>
      <c r="F29" s="52">
        <f>E29+ SUMIF('InOut Inv'!F:H,$F$4&amp;A29,'InOut Inv'!H:H) - SUMIF('Daily Sales'!F:I,$F$4&amp;A29,'Daily Sales'!I:I)</f>
        <v>14</v>
      </c>
      <c r="G29" s="52">
        <f>F29+ SUMIF('InOut Inv'!G:I,$F$4&amp;B29,'InOut Inv'!I:I) - SUMIF('Daily Sales'!G:J,$F$4&amp;B29,'Daily Sales'!J:J)</f>
        <v>14</v>
      </c>
    </row>
    <row r="30" ht="15.75" customHeight="1">
      <c r="A30" s="50" t="s">
        <v>1039</v>
      </c>
      <c r="B30" s="50" t="s">
        <v>386</v>
      </c>
      <c r="C30" s="50" t="s">
        <v>386</v>
      </c>
      <c r="D30" s="50" t="str">
        <f>VLOOKUP(A30,Master!D:G,4,0)</f>
        <v>#N/A</v>
      </c>
      <c r="E30" s="53">
        <v>3.0</v>
      </c>
      <c r="F30" s="52">
        <f>E30+ SUMIF('InOut Inv'!F:H,$F$4&amp;A30,'InOut Inv'!H:H) - SUMIF('Daily Sales'!F:I,$F$4&amp;A30,'Daily Sales'!I:I)</f>
        <v>3</v>
      </c>
      <c r="G30" s="52">
        <f>F30+ SUMIF('InOut Inv'!G:I,$F$4&amp;B30,'InOut Inv'!I:I) - SUMIF('Daily Sales'!G:J,$F$4&amp;B30,'Daily Sales'!J:J)</f>
        <v>3</v>
      </c>
    </row>
    <row r="31" ht="15.75" customHeight="1">
      <c r="A31" s="50" t="s">
        <v>1040</v>
      </c>
      <c r="B31" s="50" t="s">
        <v>386</v>
      </c>
      <c r="C31" s="50" t="s">
        <v>386</v>
      </c>
      <c r="D31" s="50" t="str">
        <f>VLOOKUP(A31,Master!D:G,4,0)</f>
        <v>#N/A</v>
      </c>
      <c r="E31" s="51">
        <v>15.0</v>
      </c>
      <c r="F31" s="52">
        <f>E31+ SUMIF('InOut Inv'!F:H,$F$4&amp;A31,'InOut Inv'!H:H) - SUMIF('Daily Sales'!F:I,$F$4&amp;A31,'Daily Sales'!I:I)</f>
        <v>15</v>
      </c>
      <c r="G31" s="52">
        <f>F31+ SUMIF('InOut Inv'!G:I,$F$4&amp;B31,'InOut Inv'!I:I) - SUMIF('Daily Sales'!G:J,$F$4&amp;B31,'Daily Sales'!J:J)</f>
        <v>15</v>
      </c>
    </row>
    <row r="32" ht="15.75" customHeight="1">
      <c r="A32" s="50" t="s">
        <v>1041</v>
      </c>
      <c r="B32" s="50" t="s">
        <v>386</v>
      </c>
      <c r="C32" s="50" t="s">
        <v>386</v>
      </c>
      <c r="D32" s="50" t="str">
        <f>VLOOKUP(A32,Master!D:G,4,0)</f>
        <v>#N/A</v>
      </c>
      <c r="E32" s="53">
        <v>0.0</v>
      </c>
      <c r="F32" s="52">
        <f>E32+ SUMIF('InOut Inv'!F:H,$F$4&amp;A32,'InOut Inv'!H:H) - SUMIF('Daily Sales'!F:I,$F$4&amp;A32,'Daily Sales'!I:I)</f>
        <v>0</v>
      </c>
      <c r="G32" s="52">
        <f>F32+ SUMIF('InOut Inv'!G:I,$F$4&amp;B32,'InOut Inv'!I:I) - SUMIF('Daily Sales'!G:J,$F$4&amp;B32,'Daily Sales'!J:J)</f>
        <v>0</v>
      </c>
    </row>
    <row r="33" ht="15.75" customHeight="1">
      <c r="A33" s="50" t="s">
        <v>1002</v>
      </c>
      <c r="B33" s="50" t="s">
        <v>386</v>
      </c>
      <c r="C33" s="50" t="s">
        <v>386</v>
      </c>
      <c r="D33" s="50" t="str">
        <f>VLOOKUP(A33,Master!D:G,4,0)</f>
        <v>#N/A</v>
      </c>
      <c r="E33" s="51">
        <v>109.0</v>
      </c>
      <c r="F33" s="52">
        <f>E33+ SUMIF('InOut Inv'!F:H,$F$4&amp;A33,'InOut Inv'!H:H) - SUMIF('Daily Sales'!F:I,$F$4&amp;A33,'Daily Sales'!I:I)</f>
        <v>109</v>
      </c>
      <c r="G33" s="52">
        <f>F33+ SUMIF('InOut Inv'!G:I,$F$4&amp;B33,'InOut Inv'!I:I) - SUMIF('Daily Sales'!G:J,$F$4&amp;B33,'Daily Sales'!J:J)</f>
        <v>109</v>
      </c>
    </row>
    <row r="34" ht="15.75" customHeight="1">
      <c r="A34" s="50" t="s">
        <v>1042</v>
      </c>
      <c r="B34" s="50" t="s">
        <v>386</v>
      </c>
      <c r="C34" s="50" t="s">
        <v>386</v>
      </c>
      <c r="D34" s="50" t="str">
        <f>VLOOKUP(A34,Master!D:G,4,0)</f>
        <v>#N/A</v>
      </c>
      <c r="E34" s="53">
        <v>33.0</v>
      </c>
      <c r="F34" s="52">
        <f>E34+ SUMIF('InOut Inv'!F:H,$F$4&amp;A34,'InOut Inv'!H:H) - SUMIF('Daily Sales'!F:I,$F$4&amp;A34,'Daily Sales'!I:I)</f>
        <v>33</v>
      </c>
      <c r="G34" s="52">
        <f>F34+ SUMIF('InOut Inv'!G:I,$F$4&amp;B34,'InOut Inv'!I:I) - SUMIF('Daily Sales'!G:J,$F$4&amp;B34,'Daily Sales'!J:J)</f>
        <v>33</v>
      </c>
    </row>
    <row r="35" ht="15.75" customHeight="1">
      <c r="A35" s="50" t="s">
        <v>1043</v>
      </c>
      <c r="B35" s="50" t="s">
        <v>386</v>
      </c>
      <c r="C35" s="50" t="s">
        <v>386</v>
      </c>
      <c r="D35" s="50" t="str">
        <f>VLOOKUP(A35,Master!D:G,4,0)</f>
        <v>#N/A</v>
      </c>
      <c r="E35" s="51">
        <v>6.0</v>
      </c>
      <c r="F35" s="52">
        <f>E35+ SUMIF('InOut Inv'!F:H,$F$4&amp;A35,'InOut Inv'!H:H) - SUMIF('Daily Sales'!F:I,$F$4&amp;A35,'Daily Sales'!I:I)</f>
        <v>6</v>
      </c>
      <c r="G35" s="52">
        <f>F35+ SUMIF('InOut Inv'!G:I,$F$4&amp;B35,'InOut Inv'!I:I) - SUMIF('Daily Sales'!G:J,$F$4&amp;B35,'Daily Sales'!J:J)</f>
        <v>6</v>
      </c>
    </row>
    <row r="36" ht="15.75" customHeight="1">
      <c r="A36" s="50" t="s">
        <v>1044</v>
      </c>
      <c r="B36" s="50" t="s">
        <v>386</v>
      </c>
      <c r="C36" s="50" t="s">
        <v>386</v>
      </c>
      <c r="D36" s="50" t="str">
        <f>VLOOKUP(A36,Master!D:G,4,0)</f>
        <v>#N/A</v>
      </c>
      <c r="E36" s="54">
        <v>2.0</v>
      </c>
      <c r="F36" s="52">
        <f>E36+ SUMIF('InOut Inv'!F:H,$F$4&amp;A36,'InOut Inv'!H:H) - SUMIF('Daily Sales'!F:I,$F$4&amp;A36,'Daily Sales'!I:I)</f>
        <v>2</v>
      </c>
      <c r="G36" s="52">
        <f>F36+ SUMIF('InOut Inv'!G:I,$F$4&amp;B36,'InOut Inv'!I:I) - SUMIF('Daily Sales'!G:J,$F$4&amp;B36,'Daily Sales'!J:J)</f>
        <v>2</v>
      </c>
    </row>
    <row r="37" ht="15.75" customHeight="1">
      <c r="A37" s="50" t="s">
        <v>1045</v>
      </c>
      <c r="B37" s="50" t="s">
        <v>386</v>
      </c>
      <c r="C37" s="50" t="s">
        <v>386</v>
      </c>
      <c r="D37" s="50" t="str">
        <f>VLOOKUP(A37,Master!D:G,4,0)</f>
        <v>#N/A</v>
      </c>
      <c r="E37" s="51">
        <v>1.0</v>
      </c>
      <c r="F37" s="52">
        <f>E37+ SUMIF('InOut Inv'!F:H,$F$4&amp;A37,'InOut Inv'!H:H) - SUMIF('Daily Sales'!F:I,$F$4&amp;A37,'Daily Sales'!I:I)</f>
        <v>1</v>
      </c>
      <c r="G37" s="52">
        <f>F37+ SUMIF('InOut Inv'!G:I,$F$4&amp;B37,'InOut Inv'!I:I) - SUMIF('Daily Sales'!G:J,$F$4&amp;B37,'Daily Sales'!J:J)</f>
        <v>1</v>
      </c>
    </row>
    <row r="38" ht="15.75" customHeight="1">
      <c r="A38" s="50" t="s">
        <v>1046</v>
      </c>
      <c r="B38" s="50" t="s">
        <v>386</v>
      </c>
      <c r="C38" s="50" t="s">
        <v>386</v>
      </c>
      <c r="D38" s="50" t="str">
        <f>VLOOKUP(A38,Master!D:G,4,0)</f>
        <v>#N/A</v>
      </c>
      <c r="E38" s="53">
        <v>5.0</v>
      </c>
      <c r="F38" s="52">
        <f>E38+ SUMIF('InOut Inv'!F:H,$F$4&amp;A38,'InOut Inv'!H:H) - SUMIF('Daily Sales'!F:I,$F$4&amp;A38,'Daily Sales'!I:I)</f>
        <v>5</v>
      </c>
      <c r="G38" s="52">
        <f>F38+ SUMIF('InOut Inv'!G:I,$F$4&amp;B38,'InOut Inv'!I:I) - SUMIF('Daily Sales'!G:J,$F$4&amp;B38,'Daily Sales'!J:J)</f>
        <v>5</v>
      </c>
    </row>
    <row r="39" ht="15.75" customHeight="1">
      <c r="A39" s="50" t="s">
        <v>1047</v>
      </c>
      <c r="B39" s="50" t="s">
        <v>386</v>
      </c>
      <c r="C39" s="50" t="s">
        <v>386</v>
      </c>
      <c r="D39" s="50" t="str">
        <f>VLOOKUP(A39,Master!D:G,4,0)</f>
        <v>#N/A</v>
      </c>
      <c r="E39" s="51">
        <v>6.0</v>
      </c>
      <c r="F39" s="52">
        <f>E39+ SUMIF('InOut Inv'!F:H,$F$4&amp;A39,'InOut Inv'!H:H) - SUMIF('Daily Sales'!F:I,$F$4&amp;A39,'Daily Sales'!I:I)</f>
        <v>6</v>
      </c>
      <c r="G39" s="52">
        <f>F39+ SUMIF('InOut Inv'!G:I,$F$4&amp;B39,'InOut Inv'!I:I) - SUMIF('Daily Sales'!G:J,$F$4&amp;B39,'Daily Sales'!J:J)</f>
        <v>6</v>
      </c>
    </row>
    <row r="40" ht="15.75" customHeight="1">
      <c r="A40" s="50" t="s">
        <v>1048</v>
      </c>
      <c r="B40" s="50" t="s">
        <v>386</v>
      </c>
      <c r="C40" s="50" t="s">
        <v>386</v>
      </c>
      <c r="D40" s="50" t="str">
        <f>VLOOKUP(A40,Master!D:G,4,0)</f>
        <v>#N/A</v>
      </c>
      <c r="E40" s="53"/>
      <c r="F40" s="52">
        <f>E40+ SUMIF('InOut Inv'!F:H,$F$4&amp;A40,'InOut Inv'!H:H) - SUMIF('Daily Sales'!F:I,$F$4&amp;A40,'Daily Sales'!I:I)</f>
        <v>0</v>
      </c>
      <c r="G40" s="52">
        <f>F40+ SUMIF('InOut Inv'!G:I,$F$4&amp;B40,'InOut Inv'!I:I) - SUMIF('Daily Sales'!G:J,$F$4&amp;B40,'Daily Sales'!J:J)</f>
        <v>0</v>
      </c>
    </row>
    <row r="41" ht="15.75" customHeight="1">
      <c r="A41" s="50" t="s">
        <v>1049</v>
      </c>
      <c r="B41" s="50" t="s">
        <v>386</v>
      </c>
      <c r="C41" s="50" t="s">
        <v>386</v>
      </c>
      <c r="D41" s="50" t="str">
        <f>VLOOKUP(A41,Master!D:G,4,0)</f>
        <v>#N/A</v>
      </c>
      <c r="E41" s="51"/>
      <c r="F41" s="52">
        <f>E41+ SUMIF('InOut Inv'!F:H,$F$4&amp;A41,'InOut Inv'!H:H) - SUMIF('Daily Sales'!F:I,$F$4&amp;A41,'Daily Sales'!I:I)</f>
        <v>0</v>
      </c>
      <c r="G41" s="52">
        <f>F41+ SUMIF('InOut Inv'!G:I,$F$4&amp;B41,'InOut Inv'!I:I) - SUMIF('Daily Sales'!G:J,$F$4&amp;B41,'Daily Sales'!J:J)</f>
        <v>0</v>
      </c>
    </row>
    <row r="42" ht="15.75" customHeight="1">
      <c r="A42" s="50" t="s">
        <v>1050</v>
      </c>
      <c r="B42" s="50" t="s">
        <v>386</v>
      </c>
      <c r="C42" s="50" t="s">
        <v>386</v>
      </c>
      <c r="D42" s="50" t="str">
        <f>VLOOKUP(A42,Master!D:G,4,0)</f>
        <v>#N/A</v>
      </c>
      <c r="E42" s="53">
        <v>3.0</v>
      </c>
      <c r="F42" s="52">
        <f>E42+ SUMIF('InOut Inv'!F:H,$F$4&amp;A42,'InOut Inv'!H:H) - SUMIF('Daily Sales'!F:I,$F$4&amp;A42,'Daily Sales'!I:I)</f>
        <v>3</v>
      </c>
      <c r="G42" s="52">
        <f>F42+ SUMIF('InOut Inv'!G:I,$F$4&amp;B42,'InOut Inv'!I:I) - SUMIF('Daily Sales'!G:J,$F$4&amp;B42,'Daily Sales'!J:J)</f>
        <v>3</v>
      </c>
    </row>
    <row r="43" ht="15.75" customHeight="1">
      <c r="A43" s="50" t="s">
        <v>1051</v>
      </c>
      <c r="B43" s="50" t="s">
        <v>473</v>
      </c>
      <c r="C43" s="50" t="s">
        <v>474</v>
      </c>
      <c r="D43" s="50" t="str">
        <f>VLOOKUP(A43,Master!D:G,4,0)</f>
        <v>#N/A</v>
      </c>
      <c r="E43" s="51">
        <v>1.0</v>
      </c>
      <c r="F43" s="52">
        <f>E43+ SUMIF('InOut Inv'!F:H,$F$4&amp;A43,'InOut Inv'!H:H) - SUMIF('Daily Sales'!F:I,$F$4&amp;A43,'Daily Sales'!I:I)</f>
        <v>1</v>
      </c>
      <c r="G43" s="52">
        <f>F43+ SUMIF('InOut Inv'!G:I,$F$4&amp;B43,'InOut Inv'!I:I) - SUMIF('Daily Sales'!G:J,$F$4&amp;B43,'Daily Sales'!J:J)</f>
        <v>1</v>
      </c>
    </row>
    <row r="44" ht="15.75" customHeight="1">
      <c r="A44" s="50" t="s">
        <v>1052</v>
      </c>
      <c r="B44" s="50" t="s">
        <v>473</v>
      </c>
      <c r="C44" s="50" t="s">
        <v>474</v>
      </c>
      <c r="D44" s="50" t="str">
        <f>VLOOKUP(A44,Master!D:G,4,0)</f>
        <v>#N/A</v>
      </c>
      <c r="E44" s="54">
        <v>2.0</v>
      </c>
      <c r="F44" s="52">
        <f>E44+ SUMIF('InOut Inv'!F:H,$F$4&amp;A44,'InOut Inv'!H:H) - SUMIF('Daily Sales'!F:I,$F$4&amp;A44,'Daily Sales'!I:I)</f>
        <v>2</v>
      </c>
      <c r="G44" s="52">
        <f>F44+ SUMIF('InOut Inv'!G:I,$F$4&amp;B44,'InOut Inv'!I:I) - SUMIF('Daily Sales'!G:J,$F$4&amp;B44,'Daily Sales'!J:J)</f>
        <v>2</v>
      </c>
    </row>
    <row r="45" ht="15.75" customHeight="1">
      <c r="A45" s="50" t="s">
        <v>1053</v>
      </c>
      <c r="B45" s="50" t="s">
        <v>473</v>
      </c>
      <c r="C45" s="50" t="s">
        <v>479</v>
      </c>
      <c r="D45" s="50" t="str">
        <f>VLOOKUP(A45,Master!D:G,4,0)</f>
        <v>#N/A</v>
      </c>
      <c r="E45" s="55">
        <v>2.0</v>
      </c>
      <c r="F45" s="52">
        <f>E45+ SUMIF('InOut Inv'!F:H,$F$4&amp;A45,'InOut Inv'!H:H) - SUMIF('Daily Sales'!F:I,$F$4&amp;A45,'Daily Sales'!I:I)</f>
        <v>2</v>
      </c>
      <c r="G45" s="52">
        <f>F45+ SUMIF('InOut Inv'!G:I,$F$4&amp;B45,'InOut Inv'!I:I) - SUMIF('Daily Sales'!G:J,$F$4&amp;B45,'Daily Sales'!J:J)</f>
        <v>2</v>
      </c>
    </row>
    <row r="46" ht="15.75" customHeight="1">
      <c r="A46" s="50" t="s">
        <v>1054</v>
      </c>
      <c r="B46" s="50" t="s">
        <v>473</v>
      </c>
      <c r="C46" s="50" t="s">
        <v>479</v>
      </c>
      <c r="D46" s="50" t="str">
        <f>VLOOKUP(A46,Master!D:G,4,0)</f>
        <v>#N/A</v>
      </c>
      <c r="E46" s="54">
        <v>1.0</v>
      </c>
      <c r="F46" s="52">
        <f>E46+ SUMIF('InOut Inv'!F:H,$F$4&amp;A46,'InOut Inv'!H:H) - SUMIF('Daily Sales'!F:I,$F$4&amp;A46,'Daily Sales'!I:I)</f>
        <v>1</v>
      </c>
      <c r="G46" s="52">
        <f>F46+ SUMIF('InOut Inv'!G:I,$F$4&amp;B46,'InOut Inv'!I:I) - SUMIF('Daily Sales'!G:J,$F$4&amp;B46,'Daily Sales'!J:J)</f>
        <v>1</v>
      </c>
    </row>
    <row r="47" ht="15.75" customHeight="1">
      <c r="A47" s="50" t="s">
        <v>1055</v>
      </c>
      <c r="B47" s="50" t="s">
        <v>473</v>
      </c>
      <c r="C47" s="50" t="s">
        <v>479</v>
      </c>
      <c r="D47" s="50" t="str">
        <f>VLOOKUP(A47,Master!D:G,4,0)</f>
        <v>#N/A</v>
      </c>
      <c r="E47" s="55">
        <v>2.0</v>
      </c>
      <c r="F47" s="52">
        <f>E47+ SUMIF('InOut Inv'!F:H,$F$4&amp;A47,'InOut Inv'!H:H) - SUMIF('Daily Sales'!F:I,$F$4&amp;A47,'Daily Sales'!I:I)</f>
        <v>2</v>
      </c>
      <c r="G47" s="52">
        <f>F47+ SUMIF('InOut Inv'!G:I,$F$4&amp;B47,'InOut Inv'!I:I) - SUMIF('Daily Sales'!G:J,$F$4&amp;B47,'Daily Sales'!J:J)</f>
        <v>2</v>
      </c>
    </row>
    <row r="48" ht="15.75" customHeight="1">
      <c r="A48" s="50" t="s">
        <v>1056</v>
      </c>
      <c r="B48" s="50" t="s">
        <v>473</v>
      </c>
      <c r="C48" s="50" t="s">
        <v>479</v>
      </c>
      <c r="D48" s="50" t="str">
        <f>VLOOKUP(A48,Master!D:G,4,0)</f>
        <v>#N/A</v>
      </c>
      <c r="E48" s="54">
        <v>3.0</v>
      </c>
      <c r="F48" s="52">
        <f>E48+ SUMIF('InOut Inv'!F:H,$F$4&amp;A48,'InOut Inv'!H:H) - SUMIF('Daily Sales'!F:I,$F$4&amp;A48,'Daily Sales'!I:I)</f>
        <v>3</v>
      </c>
      <c r="G48" s="52">
        <f>F48+ SUMIF('InOut Inv'!G:I,$F$4&amp;B48,'InOut Inv'!I:I) - SUMIF('Daily Sales'!G:J,$F$4&amp;B48,'Daily Sales'!J:J)</f>
        <v>3</v>
      </c>
    </row>
    <row r="49" ht="15.75" customHeight="1">
      <c r="A49" s="50" t="s">
        <v>1057</v>
      </c>
      <c r="B49" s="50" t="s">
        <v>473</v>
      </c>
      <c r="C49" s="50" t="s">
        <v>479</v>
      </c>
      <c r="D49" s="50" t="str">
        <f>VLOOKUP(A49,Master!D:G,4,0)</f>
        <v>#N/A</v>
      </c>
      <c r="E49" s="55">
        <v>2.0</v>
      </c>
      <c r="F49" s="52">
        <f>E49+ SUMIF('InOut Inv'!F:H,$F$4&amp;A49,'InOut Inv'!H:H) - SUMIF('Daily Sales'!F:I,$F$4&amp;A49,'Daily Sales'!I:I)</f>
        <v>2</v>
      </c>
      <c r="G49" s="52">
        <f>F49+ SUMIF('InOut Inv'!G:I,$F$4&amp;B49,'InOut Inv'!I:I) - SUMIF('Daily Sales'!G:J,$F$4&amp;B49,'Daily Sales'!J:J)</f>
        <v>2</v>
      </c>
    </row>
    <row r="50" ht="15.75" customHeight="1">
      <c r="A50" s="50" t="s">
        <v>1058</v>
      </c>
      <c r="B50" s="50" t="s">
        <v>473</v>
      </c>
      <c r="C50" s="50" t="s">
        <v>479</v>
      </c>
      <c r="D50" s="50" t="str">
        <f>VLOOKUP(A50,Master!D:G,4,0)</f>
        <v>#N/A</v>
      </c>
      <c r="E50" s="54">
        <v>3.0</v>
      </c>
      <c r="F50" s="52">
        <f>E50+ SUMIF('InOut Inv'!F:H,$F$4&amp;A50,'InOut Inv'!H:H) - SUMIF('Daily Sales'!F:I,$F$4&amp;A50,'Daily Sales'!I:I)</f>
        <v>3</v>
      </c>
      <c r="G50" s="52">
        <f>F50+ SUMIF('InOut Inv'!G:I,$F$4&amp;B50,'InOut Inv'!I:I) - SUMIF('Daily Sales'!G:J,$F$4&amp;B50,'Daily Sales'!J:J)</f>
        <v>3</v>
      </c>
    </row>
    <row r="51" ht="15.75" customHeight="1">
      <c r="A51" s="50" t="s">
        <v>1059</v>
      </c>
      <c r="B51" s="50" t="s">
        <v>473</v>
      </c>
      <c r="C51" s="50" t="s">
        <v>479</v>
      </c>
      <c r="D51" s="50" t="str">
        <f>VLOOKUP(A51,Master!D:G,4,0)</f>
        <v>#N/A</v>
      </c>
      <c r="E51" s="55">
        <v>4.0</v>
      </c>
      <c r="F51" s="52">
        <f>E51+ SUMIF('InOut Inv'!F:H,$F$4&amp;A51,'InOut Inv'!H:H) - SUMIF('Daily Sales'!F:I,$F$4&amp;A51,'Daily Sales'!I:I)</f>
        <v>4</v>
      </c>
      <c r="G51" s="52">
        <f>F51+ SUMIF('InOut Inv'!G:I,$F$4&amp;B51,'InOut Inv'!I:I) - SUMIF('Daily Sales'!G:J,$F$4&amp;B51,'Daily Sales'!J:J)</f>
        <v>4</v>
      </c>
    </row>
    <row r="52" ht="15.75" customHeight="1">
      <c r="A52" s="50" t="s">
        <v>1060</v>
      </c>
      <c r="B52" s="50" t="s">
        <v>473</v>
      </c>
      <c r="C52" s="50" t="s">
        <v>479</v>
      </c>
      <c r="D52" s="50" t="str">
        <f>VLOOKUP(A52,Master!D:G,4,0)</f>
        <v>#N/A</v>
      </c>
      <c r="E52" s="54">
        <v>1.0</v>
      </c>
      <c r="F52" s="52">
        <f>E52+ SUMIF('InOut Inv'!F:H,$F$4&amp;A52,'InOut Inv'!H:H) - SUMIF('Daily Sales'!F:I,$F$4&amp;A52,'Daily Sales'!I:I)</f>
        <v>1</v>
      </c>
      <c r="G52" s="52">
        <f>F52+ SUMIF('InOut Inv'!G:I,$F$4&amp;B52,'InOut Inv'!I:I) - SUMIF('Daily Sales'!G:J,$F$4&amp;B52,'Daily Sales'!J:J)</f>
        <v>1</v>
      </c>
    </row>
    <row r="53" ht="15.75" customHeight="1">
      <c r="A53" s="50" t="s">
        <v>1061</v>
      </c>
      <c r="B53" s="50" t="s">
        <v>473</v>
      </c>
      <c r="C53" s="50" t="s">
        <v>479</v>
      </c>
      <c r="D53" s="50" t="str">
        <f>VLOOKUP(A53,Master!D:G,4,0)</f>
        <v>#N/A</v>
      </c>
      <c r="E53" s="55">
        <v>3.0</v>
      </c>
      <c r="F53" s="52">
        <f>E53+ SUMIF('InOut Inv'!F:H,$F$4&amp;A53,'InOut Inv'!H:H) - SUMIF('Daily Sales'!F:I,$F$4&amp;A53,'Daily Sales'!I:I)</f>
        <v>3</v>
      </c>
      <c r="G53" s="52">
        <f>F53+ SUMIF('InOut Inv'!G:I,$F$4&amp;B53,'InOut Inv'!I:I) - SUMIF('Daily Sales'!G:J,$F$4&amp;B53,'Daily Sales'!J:J)</f>
        <v>3</v>
      </c>
    </row>
    <row r="54" ht="15.75" customHeight="1">
      <c r="A54" s="50" t="s">
        <v>1062</v>
      </c>
      <c r="B54" s="50" t="s">
        <v>473</v>
      </c>
      <c r="C54" s="50" t="s">
        <v>479</v>
      </c>
      <c r="D54" s="50" t="str">
        <f>VLOOKUP(A54,Master!D:G,4,0)</f>
        <v>#N/A</v>
      </c>
      <c r="E54" s="54">
        <v>2.0</v>
      </c>
      <c r="F54" s="52">
        <f>E54+ SUMIF('InOut Inv'!F:H,$F$4&amp;A54,'InOut Inv'!H:H) - SUMIF('Daily Sales'!F:I,$F$4&amp;A54,'Daily Sales'!I:I)</f>
        <v>2</v>
      </c>
      <c r="G54" s="52">
        <f>F54+ SUMIF('InOut Inv'!G:I,$F$4&amp;B54,'InOut Inv'!I:I) - SUMIF('Daily Sales'!G:J,$F$4&amp;B54,'Daily Sales'!J:J)</f>
        <v>2</v>
      </c>
    </row>
    <row r="55" ht="15.75" customHeight="1">
      <c r="A55" s="50" t="s">
        <v>1063</v>
      </c>
      <c r="B55" s="50" t="s">
        <v>473</v>
      </c>
      <c r="C55" s="50" t="s">
        <v>479</v>
      </c>
      <c r="D55" s="50" t="str">
        <f>VLOOKUP(A55,Master!D:G,4,0)</f>
        <v>#N/A</v>
      </c>
      <c r="E55" s="55">
        <v>2.0</v>
      </c>
      <c r="F55" s="52">
        <f>E55+ SUMIF('InOut Inv'!F:H,$F$4&amp;A55,'InOut Inv'!H:H) - SUMIF('Daily Sales'!F:I,$F$4&amp;A55,'Daily Sales'!I:I)</f>
        <v>2</v>
      </c>
      <c r="G55" s="52">
        <f>F55+ SUMIF('InOut Inv'!G:I,$F$4&amp;B55,'InOut Inv'!I:I) - SUMIF('Daily Sales'!G:J,$F$4&amp;B55,'Daily Sales'!J:J)</f>
        <v>2</v>
      </c>
    </row>
    <row r="56" ht="15.75" customHeight="1">
      <c r="A56" s="50" t="s">
        <v>1064</v>
      </c>
      <c r="B56" s="50" t="s">
        <v>473</v>
      </c>
      <c r="C56" s="50" t="s">
        <v>479</v>
      </c>
      <c r="D56" s="50" t="str">
        <f>VLOOKUP(A56,Master!D:G,4,0)</f>
        <v>#N/A</v>
      </c>
      <c r="E56" s="54">
        <v>1.0</v>
      </c>
      <c r="F56" s="52">
        <f>E56+ SUMIF('InOut Inv'!F:H,$F$4&amp;A56,'InOut Inv'!H:H) - SUMIF('Daily Sales'!F:I,$F$4&amp;A56,'Daily Sales'!I:I)</f>
        <v>1</v>
      </c>
      <c r="G56" s="52">
        <f>F56+ SUMIF('InOut Inv'!G:I,$F$4&amp;B56,'InOut Inv'!I:I) - SUMIF('Daily Sales'!G:J,$F$4&amp;B56,'Daily Sales'!J:J)</f>
        <v>1</v>
      </c>
    </row>
    <row r="57" ht="15.75" customHeight="1">
      <c r="A57" s="50" t="s">
        <v>1065</v>
      </c>
      <c r="B57" s="50" t="s">
        <v>473</v>
      </c>
      <c r="C57" s="50" t="s">
        <v>479</v>
      </c>
      <c r="D57" s="50" t="str">
        <f>VLOOKUP(A57,Master!D:G,4,0)</f>
        <v>#N/A</v>
      </c>
      <c r="E57" s="55">
        <v>2.0</v>
      </c>
      <c r="F57" s="52">
        <f>E57+ SUMIF('InOut Inv'!F:H,$F$4&amp;A57,'InOut Inv'!H:H) - SUMIF('Daily Sales'!F:I,$F$4&amp;A57,'Daily Sales'!I:I)</f>
        <v>2</v>
      </c>
      <c r="G57" s="52">
        <f>F57+ SUMIF('InOut Inv'!G:I,$F$4&amp;B57,'InOut Inv'!I:I) - SUMIF('Daily Sales'!G:J,$F$4&amp;B57,'Daily Sales'!J:J)</f>
        <v>2</v>
      </c>
    </row>
    <row r="58" ht="15.75" customHeight="1">
      <c r="A58" s="50" t="s">
        <v>1066</v>
      </c>
      <c r="B58" s="50" t="s">
        <v>473</v>
      </c>
      <c r="C58" s="50" t="s">
        <v>479</v>
      </c>
      <c r="D58" s="50" t="str">
        <f>VLOOKUP(A58,Master!D:G,4,0)</f>
        <v>#N/A</v>
      </c>
      <c r="E58" s="54">
        <v>2.0</v>
      </c>
      <c r="F58" s="52">
        <f>E58+ SUMIF('InOut Inv'!F:H,$F$4&amp;A58,'InOut Inv'!H:H) - SUMIF('Daily Sales'!F:I,$F$4&amp;A58,'Daily Sales'!I:I)</f>
        <v>2</v>
      </c>
      <c r="G58" s="52">
        <f>F58+ SUMIF('InOut Inv'!G:I,$F$4&amp;B58,'InOut Inv'!I:I) - SUMIF('Daily Sales'!G:J,$F$4&amp;B58,'Daily Sales'!J:J)</f>
        <v>2</v>
      </c>
    </row>
    <row r="59" ht="15.75" customHeight="1">
      <c r="A59" s="50" t="s">
        <v>1067</v>
      </c>
      <c r="B59" s="50" t="s">
        <v>473</v>
      </c>
      <c r="C59" s="50" t="s">
        <v>479</v>
      </c>
      <c r="D59" s="50" t="str">
        <f>VLOOKUP(A59,Master!D:G,4,0)</f>
        <v>#N/A</v>
      </c>
      <c r="E59" s="55">
        <v>0.0</v>
      </c>
      <c r="F59" s="52">
        <f>E59+ SUMIF('InOut Inv'!F:H,$F$4&amp;A59,'InOut Inv'!H:H) - SUMIF('Daily Sales'!F:I,$F$4&amp;A59,'Daily Sales'!I:I)</f>
        <v>0</v>
      </c>
      <c r="G59" s="52">
        <f>F59+ SUMIF('InOut Inv'!G:I,$F$4&amp;B59,'InOut Inv'!I:I) - SUMIF('Daily Sales'!G:J,$F$4&amp;B59,'Daily Sales'!J:J)</f>
        <v>0</v>
      </c>
    </row>
    <row r="60" ht="15.75" customHeight="1">
      <c r="A60" s="50" t="s">
        <v>1068</v>
      </c>
      <c r="B60" s="50" t="s">
        <v>473</v>
      </c>
      <c r="C60" s="50" t="s">
        <v>479</v>
      </c>
      <c r="D60" s="50" t="str">
        <f>VLOOKUP(A60,Master!D:G,4,0)</f>
        <v>#N/A</v>
      </c>
      <c r="E60" s="54">
        <v>1.0</v>
      </c>
      <c r="F60" s="52">
        <f>E60+ SUMIF('InOut Inv'!F:H,$F$4&amp;A60,'InOut Inv'!H:H) - SUMIF('Daily Sales'!F:I,$F$4&amp;A60,'Daily Sales'!I:I)</f>
        <v>1</v>
      </c>
      <c r="G60" s="52">
        <f>F60+ SUMIF('InOut Inv'!G:I,$F$4&amp;B60,'InOut Inv'!I:I) - SUMIF('Daily Sales'!G:J,$F$4&amp;B60,'Daily Sales'!J:J)</f>
        <v>1</v>
      </c>
    </row>
    <row r="61" ht="15.75" customHeight="1">
      <c r="A61" s="50" t="s">
        <v>472</v>
      </c>
      <c r="B61" s="50" t="s">
        <v>473</v>
      </c>
      <c r="C61" s="50" t="s">
        <v>516</v>
      </c>
      <c r="D61" s="50" t="str">
        <f>VLOOKUP(A61,Master!D:G,4,0)</f>
        <v>CATOK BONSAI IMPORT 21CM COKLAT</v>
      </c>
      <c r="E61" s="51">
        <v>1.0</v>
      </c>
      <c r="F61" s="52">
        <f>E61+ SUMIF('InOut Inv'!F:H,$F$4&amp;A61,'InOut Inv'!H:H) - SUMIF('Daily Sales'!F:I,$F$4&amp;A61,'Daily Sales'!I:I)</f>
        <v>1</v>
      </c>
      <c r="G61" s="52">
        <f>F61+ SUMIF('InOut Inv'!G:I,$F$4&amp;B61,'InOut Inv'!I:I) - SUMIF('Daily Sales'!G:J,$F$4&amp;B61,'Daily Sales'!J:J)</f>
        <v>1</v>
      </c>
    </row>
    <row r="62" ht="15.75" customHeight="1">
      <c r="A62" s="50" t="s">
        <v>476</v>
      </c>
      <c r="B62" s="50" t="s">
        <v>473</v>
      </c>
      <c r="C62" s="50" t="s">
        <v>516</v>
      </c>
      <c r="D62" s="50" t="str">
        <f>VLOOKUP(A62,Master!D:G,4,0)</f>
        <v>CATOK BONSAI IMPORT 21CM MIRING</v>
      </c>
      <c r="E62" s="53">
        <v>0.0</v>
      </c>
      <c r="F62" s="52">
        <f>E62+ SUMIF('InOut Inv'!F:H,$F$4&amp;A62,'InOut Inv'!H:H) - SUMIF('Daily Sales'!F:I,$F$4&amp;A62,'Daily Sales'!I:I)</f>
        <v>0</v>
      </c>
      <c r="G62" s="52">
        <f>F62+ SUMIF('InOut Inv'!G:I,$F$4&amp;B62,'InOut Inv'!I:I) - SUMIF('Daily Sales'!G:J,$F$4&amp;B62,'Daily Sales'!J:J)</f>
        <v>0</v>
      </c>
    </row>
    <row r="63" ht="15.75" customHeight="1">
      <c r="A63" s="50" t="s">
        <v>478</v>
      </c>
      <c r="B63" s="50" t="s">
        <v>473</v>
      </c>
      <c r="C63" s="50" t="s">
        <v>516</v>
      </c>
      <c r="D63" s="50" t="str">
        <f>VLOOKUP(A63,Master!D:G,4,0)</f>
        <v>CATOK BONSAI IMPORT 21CM HIJAU</v>
      </c>
      <c r="E63" s="51">
        <v>1.0</v>
      </c>
      <c r="F63" s="52">
        <f>E63+ SUMIF('InOut Inv'!F:H,$F$4&amp;A63,'InOut Inv'!H:H) - SUMIF('Daily Sales'!F:I,$F$4&amp;A63,'Daily Sales'!I:I)</f>
        <v>1</v>
      </c>
      <c r="G63" s="52">
        <f>F63+ SUMIF('InOut Inv'!G:I,$F$4&amp;B63,'InOut Inv'!I:I) - SUMIF('Daily Sales'!G:J,$F$4&amp;B63,'Daily Sales'!J:J)</f>
        <v>1</v>
      </c>
    </row>
    <row r="64" ht="15.75" customHeight="1">
      <c r="A64" s="50" t="s">
        <v>481</v>
      </c>
      <c r="B64" s="50" t="s">
        <v>473</v>
      </c>
      <c r="C64" s="50" t="s">
        <v>516</v>
      </c>
      <c r="D64" s="50" t="str">
        <f>VLOOKUP(A64,Master!D:G,4,0)</f>
        <v>CATOK BONSAI LOKAL 21CM</v>
      </c>
      <c r="E64" s="53">
        <v>1000.0</v>
      </c>
      <c r="F64" s="52">
        <f>E64+ SUMIF('InOut Inv'!F:H,$F$4&amp;A64,'InOut Inv'!H:H) - SUMIF('Daily Sales'!F:I,$F$4&amp;A64,'Daily Sales'!I:I)</f>
        <v>1000</v>
      </c>
      <c r="G64" s="52">
        <f>F64+ SUMIF('InOut Inv'!G:I,$F$4&amp;B64,'InOut Inv'!I:I) - SUMIF('Daily Sales'!G:J,$F$4&amp;B64,'Daily Sales'!J:J)</f>
        <v>1000</v>
      </c>
    </row>
    <row r="65" ht="15.75" customHeight="1">
      <c r="A65" s="50" t="s">
        <v>483</v>
      </c>
      <c r="B65" s="50" t="s">
        <v>473</v>
      </c>
      <c r="C65" s="50" t="s">
        <v>516</v>
      </c>
      <c r="D65" s="50" t="str">
        <f>VLOOKUP(A65,Master!D:G,4,0)</f>
        <v>GUNTING DAHAN/STEK FUKUDA</v>
      </c>
      <c r="E65" s="51">
        <v>0.0</v>
      </c>
      <c r="F65" s="52">
        <f>E65+ SUMIF('InOut Inv'!F:H,$F$4&amp;A65,'InOut Inv'!H:H) - SUMIF('Daily Sales'!F:I,$F$4&amp;A65,'Daily Sales'!I:I)</f>
        <v>0</v>
      </c>
      <c r="G65" s="52">
        <f>F65+ SUMIF('InOut Inv'!G:I,$F$4&amp;B65,'InOut Inv'!I:I) - SUMIF('Daily Sales'!G:J,$F$4&amp;B65,'Daily Sales'!J:J)</f>
        <v>0</v>
      </c>
    </row>
    <row r="66" ht="15.75" customHeight="1">
      <c r="A66" s="50" t="s">
        <v>485</v>
      </c>
      <c r="B66" s="50" t="s">
        <v>473</v>
      </c>
      <c r="C66" s="50" t="s">
        <v>516</v>
      </c>
      <c r="D66" s="50" t="str">
        <f>VLOOKUP(A66,Master!D:G,4,0)</f>
        <v>GUNTING DAHAN/STEK MERAH/HIJAU</v>
      </c>
      <c r="E66" s="53">
        <v>0.0</v>
      </c>
      <c r="F66" s="52">
        <f>E66+ SUMIF('InOut Inv'!F:H,$F$4&amp;A66,'InOut Inv'!H:H) - SUMIF('Daily Sales'!F:I,$F$4&amp;A66,'Daily Sales'!I:I)</f>
        <v>0</v>
      </c>
      <c r="G66" s="52">
        <f>F66+ SUMIF('InOut Inv'!G:I,$F$4&amp;B66,'InOut Inv'!I:I) - SUMIF('Daily Sales'!G:J,$F$4&amp;B66,'Daily Sales'!J:J)</f>
        <v>0</v>
      </c>
    </row>
    <row r="67" ht="15.75" customHeight="1">
      <c r="A67" s="50" t="s">
        <v>487</v>
      </c>
      <c r="B67" s="50" t="s">
        <v>473</v>
      </c>
      <c r="C67" s="50" t="s">
        <v>516</v>
      </c>
      <c r="D67" s="50" t="str">
        <f>VLOOKUP(A67,Master!D:G,4,0)</f>
        <v>GUNTING DAHAN/STEK PUTIH</v>
      </c>
      <c r="E67" s="51">
        <v>1.0</v>
      </c>
      <c r="F67" s="52">
        <f>E67+ SUMIF('InOut Inv'!F:H,$F$4&amp;A67,'InOut Inv'!H:H) - SUMIF('Daily Sales'!F:I,$F$4&amp;A67,'Daily Sales'!I:I)</f>
        <v>1</v>
      </c>
      <c r="G67" s="52">
        <f>F67+ SUMIF('InOut Inv'!G:I,$F$4&amp;B67,'InOut Inv'!I:I) - SUMIF('Daily Sales'!G:J,$F$4&amp;B67,'Daily Sales'!J:J)</f>
        <v>1</v>
      </c>
    </row>
    <row r="68" ht="15.75" customHeight="1">
      <c r="A68" s="50" t="s">
        <v>163</v>
      </c>
      <c r="B68" s="50" t="s">
        <v>473</v>
      </c>
      <c r="C68" s="50" t="s">
        <v>516</v>
      </c>
      <c r="D68" s="50" t="str">
        <f>VLOOKUP(A68,Master!D:G,4,0)</f>
        <v>GUNTING DAHAN/STEK WIPRO</v>
      </c>
      <c r="E68" s="53">
        <v>1000.0</v>
      </c>
      <c r="F68" s="52">
        <f>E68+ SUMIF('InOut Inv'!F:H,$F$4&amp;A68,'InOut Inv'!H:H) - SUMIF('Daily Sales'!F:I,$F$4&amp;A68,'Daily Sales'!I:I)</f>
        <v>1000</v>
      </c>
      <c r="G68" s="52">
        <f>F68+ SUMIF('InOut Inv'!G:I,$F$4&amp;B68,'InOut Inv'!I:I) - SUMIF('Daily Sales'!G:J,$F$4&amp;B68,'Daily Sales'!J:J)</f>
        <v>1000</v>
      </c>
    </row>
    <row r="69" ht="15.75" customHeight="1">
      <c r="A69" s="50" t="s">
        <v>277</v>
      </c>
      <c r="B69" s="50" t="s">
        <v>473</v>
      </c>
      <c r="C69" s="50" t="s">
        <v>516</v>
      </c>
      <c r="D69" s="50" t="str">
        <f>VLOOKUP(A69,Master!D:G,4,0)</f>
        <v>GUNTING PRUNING HIJAU-KUNING 16CM</v>
      </c>
      <c r="E69" s="51">
        <v>1.0</v>
      </c>
      <c r="F69" s="52">
        <f>E69+ SUMIF('InOut Inv'!F:H,$F$4&amp;A69,'InOut Inv'!H:H) - SUMIF('Daily Sales'!F:I,$F$4&amp;A69,'Daily Sales'!I:I)</f>
        <v>1</v>
      </c>
      <c r="G69" s="52">
        <f>F69+ SUMIF('InOut Inv'!G:I,$F$4&amp;B69,'InOut Inv'!I:I) - SUMIF('Daily Sales'!G:J,$F$4&amp;B69,'Daily Sales'!J:J)</f>
        <v>1</v>
      </c>
    </row>
    <row r="70" ht="15.75" customHeight="1">
      <c r="A70" s="50" t="s">
        <v>170</v>
      </c>
      <c r="B70" s="50" t="s">
        <v>473</v>
      </c>
      <c r="C70" s="50" t="s">
        <v>516</v>
      </c>
      <c r="D70" s="50" t="str">
        <f>VLOOKUP(A70,Master!D:G,4,0)</f>
        <v>GUNTING PRUNING HIJAU-KUNING 21CM NO. 2110</v>
      </c>
      <c r="E70" s="53">
        <v>1000.0</v>
      </c>
      <c r="F70" s="52">
        <f>E70+ SUMIF('InOut Inv'!F:H,$F$4&amp;A70,'InOut Inv'!H:H) - SUMIF('Daily Sales'!F:I,$F$4&amp;A70,'Daily Sales'!I:I)</f>
        <v>1000</v>
      </c>
      <c r="G70" s="52">
        <f>F70+ SUMIF('InOut Inv'!G:I,$F$4&amp;B70,'InOut Inv'!I:I) - SUMIF('Daily Sales'!G:J,$F$4&amp;B70,'Daily Sales'!J:J)</f>
        <v>1000</v>
      </c>
    </row>
    <row r="71" ht="15.75" customHeight="1">
      <c r="A71" s="50" t="s">
        <v>492</v>
      </c>
      <c r="B71" s="50" t="s">
        <v>473</v>
      </c>
      <c r="C71" s="50" t="s">
        <v>516</v>
      </c>
      <c r="D71" s="50" t="str">
        <f>VLOOKUP(A71,Master!D:G,4,0)</f>
        <v>GUNTING PRUNING IMPORT 12.5CM NO 4104</v>
      </c>
      <c r="E71" s="51">
        <v>1.0</v>
      </c>
      <c r="F71" s="52">
        <f>E71+ SUMIF('InOut Inv'!F:H,$F$4&amp;A71,'InOut Inv'!H:H) - SUMIF('Daily Sales'!F:I,$F$4&amp;A71,'Daily Sales'!I:I)</f>
        <v>1</v>
      </c>
      <c r="G71" s="52">
        <f>F71+ SUMIF('InOut Inv'!G:I,$F$4&amp;B71,'InOut Inv'!I:I) - SUMIF('Daily Sales'!G:J,$F$4&amp;B71,'Daily Sales'!J:J)</f>
        <v>1</v>
      </c>
    </row>
    <row r="72" ht="15.75" customHeight="1">
      <c r="A72" s="50" t="s">
        <v>494</v>
      </c>
      <c r="B72" s="50" t="s">
        <v>473</v>
      </c>
      <c r="C72" s="50" t="s">
        <v>516</v>
      </c>
      <c r="D72" s="50" t="str">
        <f>VLOOKUP(A72,Master!D:G,4,0)</f>
        <v>GUNTING PRUNING IMPORT 15.3CM NO 4103</v>
      </c>
      <c r="E72" s="53">
        <v>10000.0</v>
      </c>
      <c r="F72" s="52">
        <f>E72+ SUMIF('InOut Inv'!F:H,$F$4&amp;A72,'InOut Inv'!H:H) - SUMIF('Daily Sales'!F:I,$F$4&amp;A72,'Daily Sales'!I:I)</f>
        <v>10000</v>
      </c>
      <c r="G72" s="52">
        <f>F72+ SUMIF('InOut Inv'!G:I,$F$4&amp;B72,'InOut Inv'!I:I) - SUMIF('Daily Sales'!G:J,$F$4&amp;B72,'Daily Sales'!J:J)</f>
        <v>10000</v>
      </c>
    </row>
    <row r="73" ht="15.75" customHeight="1">
      <c r="A73" s="50" t="s">
        <v>496</v>
      </c>
      <c r="B73" s="50" t="s">
        <v>473</v>
      </c>
      <c r="C73" s="50" t="s">
        <v>516</v>
      </c>
      <c r="D73" s="50" t="str">
        <f>VLOOKUP(A73,Master!D:G,4,0)</f>
        <v>GUNTING PRUNING IMPORT 17.5CM NO 4102</v>
      </c>
      <c r="E73" s="51">
        <v>0.0</v>
      </c>
      <c r="F73" s="52">
        <f>E73+ SUMIF('InOut Inv'!F:H,$F$4&amp;A73,'InOut Inv'!H:H) - SUMIF('Daily Sales'!F:I,$F$4&amp;A73,'Daily Sales'!I:I)</f>
        <v>0</v>
      </c>
      <c r="G73" s="52">
        <f>F73+ SUMIF('InOut Inv'!G:I,$F$4&amp;B73,'InOut Inv'!I:I) - SUMIF('Daily Sales'!G:J,$F$4&amp;B73,'Daily Sales'!J:J)</f>
        <v>0</v>
      </c>
    </row>
    <row r="74" ht="15.75" customHeight="1">
      <c r="A74" s="50" t="s">
        <v>498</v>
      </c>
      <c r="B74" s="50" t="s">
        <v>473</v>
      </c>
      <c r="C74" s="50" t="s">
        <v>516</v>
      </c>
      <c r="D74" s="50" t="str">
        <f>VLOOKUP(A74,Master!D:G,4,0)</f>
        <v>GUNTING PRUNING IMPORT 19.5CM NO 4101</v>
      </c>
      <c r="E74" s="53">
        <v>0.0</v>
      </c>
      <c r="F74" s="52">
        <f>E74+ SUMIF('InOut Inv'!F:H,$F$4&amp;A74,'InOut Inv'!H:H) - SUMIF('Daily Sales'!F:I,$F$4&amp;A74,'Daily Sales'!I:I)</f>
        <v>0</v>
      </c>
      <c r="G74" s="52">
        <f>F74+ SUMIF('InOut Inv'!G:I,$F$4&amp;B74,'InOut Inv'!I:I) - SUMIF('Daily Sales'!G:J,$F$4&amp;B74,'Daily Sales'!J:J)</f>
        <v>0</v>
      </c>
    </row>
    <row r="75" ht="15.75" customHeight="1">
      <c r="A75" s="50" t="s">
        <v>500</v>
      </c>
      <c r="B75" s="50" t="s">
        <v>473</v>
      </c>
      <c r="C75" s="50" t="s">
        <v>516</v>
      </c>
      <c r="D75" s="50" t="str">
        <f>VLOOKUP(A75,Master!D:G,4,0)</f>
        <v>GUNTING PRUNING IMPORT MELENGKUNG 12CM 3009-W</v>
      </c>
      <c r="E75" s="51">
        <v>1.0</v>
      </c>
      <c r="F75" s="52">
        <f>E75+ SUMIF('InOut Inv'!F:H,$F$4&amp;A75,'InOut Inv'!H:H) - SUMIF('Daily Sales'!F:I,$F$4&amp;A75,'Daily Sales'!I:I)</f>
        <v>1</v>
      </c>
      <c r="G75" s="52">
        <f>F75+ SUMIF('InOut Inv'!G:I,$F$4&amp;B75,'InOut Inv'!I:I) - SUMIF('Daily Sales'!G:J,$F$4&amp;B75,'Daily Sales'!J:J)</f>
        <v>1</v>
      </c>
    </row>
    <row r="76" ht="15.75" customHeight="1">
      <c r="A76" s="50" t="s">
        <v>502</v>
      </c>
      <c r="B76" s="50" t="s">
        <v>473</v>
      </c>
      <c r="C76" s="50" t="s">
        <v>516</v>
      </c>
      <c r="D76" s="50" t="str">
        <f>VLOOKUP(A76,Master!D:G,4,0)</f>
        <v>GUNTING PRUNING LANCIP FURANO KUNING</v>
      </c>
      <c r="E76" s="53">
        <v>10000.0</v>
      </c>
      <c r="F76" s="52">
        <f>E76+ SUMIF('InOut Inv'!F:H,$F$4&amp;A76,'InOut Inv'!H:H) - SUMIF('Daily Sales'!F:I,$F$4&amp;A76,'Daily Sales'!I:I)</f>
        <v>10000</v>
      </c>
      <c r="G76" s="52">
        <f>F76+ SUMIF('InOut Inv'!G:I,$F$4&amp;B76,'InOut Inv'!I:I) - SUMIF('Daily Sales'!G:J,$F$4&amp;B76,'Daily Sales'!J:J)</f>
        <v>10000</v>
      </c>
    </row>
    <row r="77" ht="15.75" customHeight="1">
      <c r="A77" s="50" t="s">
        <v>504</v>
      </c>
      <c r="B77" s="50" t="s">
        <v>473</v>
      </c>
      <c r="C77" s="50" t="s">
        <v>516</v>
      </c>
      <c r="D77" s="50" t="str">
        <f>VLOOKUP(A77,Master!D:G,4,0)</f>
        <v>GUNTING PRUNING LANCIP MERAH 19CM</v>
      </c>
      <c r="E77" s="51">
        <v>0.0</v>
      </c>
      <c r="F77" s="52">
        <f>E77+ SUMIF('InOut Inv'!F:H,$F$4&amp;A77,'InOut Inv'!H:H) - SUMIF('Daily Sales'!F:I,$F$4&amp;A77,'Daily Sales'!I:I)</f>
        <v>0</v>
      </c>
      <c r="G77" s="52">
        <f>F77+ SUMIF('InOut Inv'!G:I,$F$4&amp;B77,'InOut Inv'!I:I) - SUMIF('Daily Sales'!G:J,$F$4&amp;B77,'Daily Sales'!J:J)</f>
        <v>0</v>
      </c>
    </row>
    <row r="78" ht="15.75" customHeight="1">
      <c r="A78" s="50" t="s">
        <v>506</v>
      </c>
      <c r="B78" s="50" t="s">
        <v>473</v>
      </c>
      <c r="C78" s="50" t="s">
        <v>516</v>
      </c>
      <c r="D78" s="50" t="str">
        <f>VLOOKUP(A78,Master!D:G,4,0)</f>
        <v>GUNTING PRUNING LANCIP MERAH 21CM</v>
      </c>
      <c r="E78" s="53">
        <v>10000.0</v>
      </c>
      <c r="F78" s="52">
        <f>E78+ SUMIF('InOut Inv'!F:H,$F$4&amp;A78,'InOut Inv'!H:H) - SUMIF('Daily Sales'!F:I,$F$4&amp;A78,'Daily Sales'!I:I)</f>
        <v>10000</v>
      </c>
      <c r="G78" s="52">
        <f>F78+ SUMIF('InOut Inv'!G:I,$F$4&amp;B78,'InOut Inv'!I:I) - SUMIF('Daily Sales'!G:J,$F$4&amp;B78,'Daily Sales'!J:J)</f>
        <v>10000</v>
      </c>
    </row>
    <row r="79" ht="15.75" customHeight="1">
      <c r="A79" s="50" t="s">
        <v>508</v>
      </c>
      <c r="B79" s="50" t="s">
        <v>473</v>
      </c>
      <c r="C79" s="50" t="s">
        <v>516</v>
      </c>
      <c r="D79" s="50" t="str">
        <f>VLOOKUP(A79,Master!D:G,4,0)</f>
        <v>GUNTING PRUNING MERAH HITAM 21CM</v>
      </c>
      <c r="E79" s="51">
        <v>2.0</v>
      </c>
      <c r="F79" s="52">
        <f>E79+ SUMIF('InOut Inv'!F:H,$F$4&amp;A79,'InOut Inv'!H:H) - SUMIF('Daily Sales'!F:I,$F$4&amp;A79,'Daily Sales'!I:I)</f>
        <v>2</v>
      </c>
      <c r="G79" s="52">
        <f>F79+ SUMIF('InOut Inv'!G:I,$F$4&amp;B79,'InOut Inv'!I:I) - SUMIF('Daily Sales'!G:J,$F$4&amp;B79,'Daily Sales'!J:J)</f>
        <v>2</v>
      </c>
    </row>
    <row r="80" ht="15.75" customHeight="1">
      <c r="A80" s="50" t="s">
        <v>510</v>
      </c>
      <c r="B80" s="50" t="s">
        <v>473</v>
      </c>
      <c r="C80" s="50" t="s">
        <v>516</v>
      </c>
      <c r="D80" s="50" t="str">
        <f>VLOOKUP(A80,Master!D:G,4,0)</f>
        <v>GUNTING RUMPUT GAGANG KAYU</v>
      </c>
      <c r="E80" s="53">
        <v>10000.0</v>
      </c>
      <c r="F80" s="52">
        <f>E80+ SUMIF('InOut Inv'!F:H,$F$4&amp;A80,'InOut Inv'!H:H) - SUMIF('Daily Sales'!F:I,$F$4&amp;A80,'Daily Sales'!I:I)</f>
        <v>10000</v>
      </c>
      <c r="G80" s="52">
        <f>F80+ SUMIF('InOut Inv'!G:I,$F$4&amp;B80,'InOut Inv'!I:I) - SUMIF('Daily Sales'!G:J,$F$4&amp;B80,'Daily Sales'!J:J)</f>
        <v>10000</v>
      </c>
    </row>
    <row r="81" ht="15.75" customHeight="1">
      <c r="A81" s="50" t="s">
        <v>512</v>
      </c>
      <c r="B81" s="50" t="s">
        <v>473</v>
      </c>
      <c r="C81" s="50" t="s">
        <v>516</v>
      </c>
      <c r="D81" s="50" t="str">
        <f>VLOOKUP(A81,Master!D:G,4,0)</f>
        <v>GUNTING RUMPUT GAGANG PLASTIK</v>
      </c>
      <c r="E81" s="51">
        <v>1.0</v>
      </c>
      <c r="F81" s="52">
        <f>E81+ SUMIF('InOut Inv'!F:H,$F$4&amp;A81,'InOut Inv'!H:H) - SUMIF('Daily Sales'!F:I,$F$4&amp;A81,'Daily Sales'!I:I)</f>
        <v>1</v>
      </c>
      <c r="G81" s="52">
        <f>F81+ SUMIF('InOut Inv'!G:I,$F$4&amp;B81,'InOut Inv'!I:I) - SUMIF('Daily Sales'!G:J,$F$4&amp;B81,'Daily Sales'!J:J)</f>
        <v>1</v>
      </c>
    </row>
    <row r="82" ht="15.75" customHeight="1">
      <c r="A82" s="50" t="s">
        <v>151</v>
      </c>
      <c r="B82" s="50" t="s">
        <v>473</v>
      </c>
      <c r="C82" s="50" t="s">
        <v>516</v>
      </c>
      <c r="D82" s="50" t="str">
        <f>VLOOKUP(A82,Master!D:G,4,0)</f>
        <v>GUNTING STEK HITAM KUNING</v>
      </c>
      <c r="E82" s="53">
        <v>10000.0</v>
      </c>
      <c r="F82" s="52">
        <f>E82+ SUMIF('InOut Inv'!F:H,$F$4&amp;A82,'InOut Inv'!H:H) - SUMIF('Daily Sales'!F:I,$F$4&amp;A82,'Daily Sales'!I:I)</f>
        <v>10000</v>
      </c>
      <c r="G82" s="52">
        <f>F82+ SUMIF('InOut Inv'!G:I,$F$4&amp;B82,'InOut Inv'!I:I) - SUMIF('Daily Sales'!G:J,$F$4&amp;B82,'Daily Sales'!J:J)</f>
        <v>10000</v>
      </c>
    </row>
    <row r="83" ht="15.75" customHeight="1">
      <c r="A83" s="50" t="s">
        <v>515</v>
      </c>
      <c r="B83" s="50" t="s">
        <v>473</v>
      </c>
      <c r="C83" s="50" t="s">
        <v>516</v>
      </c>
      <c r="D83" s="50" t="str">
        <f>VLOOKUP(A83,Master!D:G,4,0)</f>
        <v>KAWAT BONSAI COKELAT NO.2</v>
      </c>
      <c r="E83" s="51">
        <v>1.0</v>
      </c>
      <c r="F83" s="52">
        <f>E83+ SUMIF('InOut Inv'!F:H,$F$4&amp;A83,'InOut Inv'!H:H) - SUMIF('Daily Sales'!F:I,$F$4&amp;A83,'Daily Sales'!I:I)</f>
        <v>1</v>
      </c>
      <c r="G83" s="52">
        <f>F83+ SUMIF('InOut Inv'!G:I,$F$4&amp;B83,'InOut Inv'!I:I) - SUMIF('Daily Sales'!G:J,$F$4&amp;B83,'Daily Sales'!J:J)</f>
        <v>1</v>
      </c>
    </row>
    <row r="84" ht="15.75" customHeight="1">
      <c r="A84" s="50" t="s">
        <v>518</v>
      </c>
      <c r="B84" s="50" t="s">
        <v>473</v>
      </c>
      <c r="C84" s="50" t="s">
        <v>516</v>
      </c>
      <c r="D84" s="50" t="str">
        <f>VLOOKUP(A84,Master!D:G,4,0)</f>
        <v>KAWAT BONSAI COKELAT NO.3</v>
      </c>
      <c r="E84" s="53">
        <v>10000.0</v>
      </c>
      <c r="F84" s="52">
        <f>E84+ SUMIF('InOut Inv'!F:H,$F$4&amp;A84,'InOut Inv'!H:H) - SUMIF('Daily Sales'!F:I,$F$4&amp;A84,'Daily Sales'!I:I)</f>
        <v>10000</v>
      </c>
      <c r="G84" s="52">
        <f>F84+ SUMIF('InOut Inv'!G:I,$F$4&amp;B84,'InOut Inv'!I:I) - SUMIF('Daily Sales'!G:J,$F$4&amp;B84,'Daily Sales'!J:J)</f>
        <v>10000</v>
      </c>
    </row>
    <row r="85" ht="15.75" customHeight="1">
      <c r="A85" s="50" t="s">
        <v>520</v>
      </c>
      <c r="B85" s="50" t="s">
        <v>473</v>
      </c>
      <c r="C85" s="50" t="s">
        <v>516</v>
      </c>
      <c r="D85" s="50" t="str">
        <f>VLOOKUP(A85,Master!D:G,4,0)</f>
        <v>KAWAT BONSAI HITAM NO.1</v>
      </c>
      <c r="E85" s="51">
        <v>0.0</v>
      </c>
      <c r="F85" s="52">
        <f>E85+ SUMIF('InOut Inv'!F:H,$F$4&amp;A85,'InOut Inv'!H:H) - SUMIF('Daily Sales'!F:I,$F$4&amp;A85,'Daily Sales'!I:I)</f>
        <v>0</v>
      </c>
      <c r="G85" s="52">
        <f>F85+ SUMIF('InOut Inv'!G:I,$F$4&amp;B85,'InOut Inv'!I:I) - SUMIF('Daily Sales'!G:J,$F$4&amp;B85,'Daily Sales'!J:J)</f>
        <v>0</v>
      </c>
    </row>
    <row r="86" ht="15.75" customHeight="1">
      <c r="A86" s="50" t="s">
        <v>74</v>
      </c>
      <c r="B86" s="50" t="s">
        <v>473</v>
      </c>
      <c r="C86" s="50" t="s">
        <v>516</v>
      </c>
      <c r="D86" s="50" t="str">
        <f>VLOOKUP(A86,Master!D:G,4,0)</f>
        <v>KAWAT BONSAI HITAM NO.1 ECERAN</v>
      </c>
      <c r="E86" s="53">
        <v>0.0</v>
      </c>
      <c r="F86" s="52">
        <f>E86+ SUMIF('InOut Inv'!F:H,$F$4&amp;A86,'InOut Inv'!H:H) - SUMIF('Daily Sales'!F:I,$F$4&amp;A86,'Daily Sales'!I:I)</f>
        <v>0</v>
      </c>
      <c r="G86" s="52">
        <f>F86+ SUMIF('InOut Inv'!G:I,$F$4&amp;B86,'InOut Inv'!I:I) - SUMIF('Daily Sales'!G:J,$F$4&amp;B86,'Daily Sales'!J:J)</f>
        <v>0</v>
      </c>
    </row>
    <row r="87" ht="15.75" customHeight="1">
      <c r="A87" s="50" t="s">
        <v>523</v>
      </c>
      <c r="B87" s="50" t="s">
        <v>473</v>
      </c>
      <c r="C87" s="50" t="s">
        <v>516</v>
      </c>
      <c r="D87" s="50" t="str">
        <f>VLOOKUP(A87,Master!D:G,4,0)</f>
        <v>KAWAT BONSAI HITAM NO.2</v>
      </c>
      <c r="E87" s="51">
        <v>2.0</v>
      </c>
      <c r="F87" s="52">
        <f>E87+ SUMIF('InOut Inv'!F:H,$F$4&amp;A87,'InOut Inv'!H:H) - SUMIF('Daily Sales'!F:I,$F$4&amp;A87,'Daily Sales'!I:I)</f>
        <v>2</v>
      </c>
      <c r="G87" s="52">
        <f>F87+ SUMIF('InOut Inv'!G:I,$F$4&amp;B87,'InOut Inv'!I:I) - SUMIF('Daily Sales'!G:J,$F$4&amp;B87,'Daily Sales'!J:J)</f>
        <v>2</v>
      </c>
    </row>
    <row r="88" ht="15.75" customHeight="1">
      <c r="A88" s="50" t="s">
        <v>29</v>
      </c>
      <c r="B88" s="50" t="s">
        <v>473</v>
      </c>
      <c r="C88" s="50" t="s">
        <v>516</v>
      </c>
      <c r="D88" s="50" t="str">
        <f>VLOOKUP(A88,Master!D:G,4,0)</f>
        <v>KAWAT BONSAI HITAM NO.2 ECERAN</v>
      </c>
      <c r="E88" s="53">
        <v>10000.0</v>
      </c>
      <c r="F88" s="52">
        <f>E88+ SUMIF('InOut Inv'!F:H,$F$4&amp;A88,'InOut Inv'!H:H) - SUMIF('Daily Sales'!F:I,$F$4&amp;A88,'Daily Sales'!I:I)</f>
        <v>10000</v>
      </c>
      <c r="G88" s="52">
        <f>F88+ SUMIF('InOut Inv'!G:I,$F$4&amp;B88,'InOut Inv'!I:I) - SUMIF('Daily Sales'!G:J,$F$4&amp;B88,'Daily Sales'!J:J)</f>
        <v>10000</v>
      </c>
    </row>
    <row r="89" ht="15.75" customHeight="1">
      <c r="A89" s="50" t="s">
        <v>526</v>
      </c>
      <c r="B89" s="50" t="s">
        <v>473</v>
      </c>
      <c r="C89" s="50" t="s">
        <v>516</v>
      </c>
      <c r="D89" s="50" t="str">
        <f>VLOOKUP(A89,Master!D:G,4,0)</f>
        <v>KAWAT BONSAI HITAM NO.3</v>
      </c>
      <c r="E89" s="51">
        <v>1.0</v>
      </c>
      <c r="F89" s="52">
        <f>E89+ SUMIF('InOut Inv'!F:H,$F$4&amp;A89,'InOut Inv'!H:H) - SUMIF('Daily Sales'!F:I,$F$4&amp;A89,'Daily Sales'!I:I)</f>
        <v>1</v>
      </c>
      <c r="G89" s="52">
        <f>F89+ SUMIF('InOut Inv'!G:I,$F$4&amp;B89,'InOut Inv'!I:I) - SUMIF('Daily Sales'!G:J,$F$4&amp;B89,'Daily Sales'!J:J)</f>
        <v>1</v>
      </c>
    </row>
    <row r="90" ht="15.75" customHeight="1">
      <c r="A90" s="50" t="s">
        <v>265</v>
      </c>
      <c r="B90" s="50" t="s">
        <v>473</v>
      </c>
      <c r="C90" s="50" t="s">
        <v>516</v>
      </c>
      <c r="D90" s="50" t="str">
        <f>VLOOKUP(A90,Master!D:G,4,0)</f>
        <v>KAWAT BONSAI HITAM NO.3 ECERAN</v>
      </c>
      <c r="E90" s="53">
        <v>1000.0</v>
      </c>
      <c r="F90" s="52">
        <f>E90+ SUMIF('InOut Inv'!F:H,$F$4&amp;A90,'InOut Inv'!H:H) - SUMIF('Daily Sales'!F:I,$F$4&amp;A90,'Daily Sales'!I:I)</f>
        <v>1000</v>
      </c>
      <c r="G90" s="52">
        <f>F90+ SUMIF('InOut Inv'!G:I,$F$4&amp;B90,'InOut Inv'!I:I) - SUMIF('Daily Sales'!G:J,$F$4&amp;B90,'Daily Sales'!J:J)</f>
        <v>1000</v>
      </c>
    </row>
    <row r="91" ht="15.75" customHeight="1">
      <c r="A91" s="50" t="s">
        <v>529</v>
      </c>
      <c r="B91" s="50" t="s">
        <v>473</v>
      </c>
      <c r="C91" s="50" t="s">
        <v>516</v>
      </c>
      <c r="D91" s="50" t="str">
        <f>VLOOKUP(A91,Master!D:G,4,0)</f>
        <v>KAWAT BONSAI HITAM NO.4</v>
      </c>
      <c r="E91" s="51">
        <v>1.0</v>
      </c>
      <c r="F91" s="52">
        <f>E91+ SUMIF('InOut Inv'!F:H,$F$4&amp;A91,'InOut Inv'!H:H) - SUMIF('Daily Sales'!F:I,$F$4&amp;A91,'Daily Sales'!I:I)</f>
        <v>1</v>
      </c>
      <c r="G91" s="52">
        <f>F91+ SUMIF('InOut Inv'!G:I,$F$4&amp;B91,'InOut Inv'!I:I) - SUMIF('Daily Sales'!G:J,$F$4&amp;B91,'Daily Sales'!J:J)</f>
        <v>1</v>
      </c>
    </row>
    <row r="92" ht="15.75" customHeight="1">
      <c r="A92" s="50" t="s">
        <v>122</v>
      </c>
      <c r="B92" s="50" t="s">
        <v>473</v>
      </c>
      <c r="C92" s="50" t="s">
        <v>516</v>
      </c>
      <c r="D92" s="50" t="str">
        <f>VLOOKUP(A92,Master!D:G,4,0)</f>
        <v>KAWAT BONSAI HITAM NO.4 ECERAN</v>
      </c>
      <c r="E92" s="53">
        <v>1000.0</v>
      </c>
      <c r="F92" s="52">
        <f>E92+ SUMIF('InOut Inv'!F:H,$F$4&amp;A92,'InOut Inv'!H:H) - SUMIF('Daily Sales'!F:I,$F$4&amp;A92,'Daily Sales'!I:I)</f>
        <v>1000</v>
      </c>
      <c r="G92" s="52">
        <f>F92+ SUMIF('InOut Inv'!G:I,$F$4&amp;B92,'InOut Inv'!I:I) - SUMIF('Daily Sales'!G:J,$F$4&amp;B92,'Daily Sales'!J:J)</f>
        <v>1000</v>
      </c>
    </row>
    <row r="93" ht="15.75" customHeight="1">
      <c r="A93" s="50" t="s">
        <v>1069</v>
      </c>
      <c r="B93" s="50" t="s">
        <v>473</v>
      </c>
      <c r="C93" s="50" t="s">
        <v>568</v>
      </c>
      <c r="D93" s="50" t="str">
        <f>VLOOKUP(A93,Master!D:G,4,0)</f>
        <v>#N/A</v>
      </c>
      <c r="E93" s="51">
        <v>5.0</v>
      </c>
      <c r="F93" s="52">
        <f>E93+ SUMIF('InOut Inv'!F:H,$F$4&amp;A93,'InOut Inv'!H:H) - SUMIF('Daily Sales'!F:I,$F$4&amp;A93,'Daily Sales'!I:I)</f>
        <v>5</v>
      </c>
      <c r="G93" s="52">
        <f>F93+ SUMIF('InOut Inv'!G:I,$F$4&amp;B93,'InOut Inv'!I:I) - SUMIF('Daily Sales'!G:J,$F$4&amp;B93,'Daily Sales'!J:J)</f>
        <v>5</v>
      </c>
    </row>
    <row r="94" ht="15.75" customHeight="1">
      <c r="A94" s="50" t="s">
        <v>1070</v>
      </c>
      <c r="B94" s="50" t="s">
        <v>473</v>
      </c>
      <c r="C94" s="50" t="s">
        <v>568</v>
      </c>
      <c r="D94" s="50" t="str">
        <f>VLOOKUP(A94,Master!D:G,4,0)</f>
        <v>#N/A</v>
      </c>
      <c r="E94" s="53">
        <v>5.0</v>
      </c>
      <c r="F94" s="52">
        <f>E94+ SUMIF('InOut Inv'!F:H,$F$4&amp;A94,'InOut Inv'!H:H) - SUMIF('Daily Sales'!F:I,$F$4&amp;A94,'Daily Sales'!I:I)</f>
        <v>5</v>
      </c>
      <c r="G94" s="52">
        <f>F94+ SUMIF('InOut Inv'!G:I,$F$4&amp;B94,'InOut Inv'!I:I) - SUMIF('Daily Sales'!G:J,$F$4&amp;B94,'Daily Sales'!J:J)</f>
        <v>5</v>
      </c>
    </row>
    <row r="95" ht="15.75" customHeight="1">
      <c r="A95" s="50" t="s">
        <v>1071</v>
      </c>
      <c r="B95" s="50" t="s">
        <v>473</v>
      </c>
      <c r="C95" s="50" t="s">
        <v>568</v>
      </c>
      <c r="D95" s="50" t="str">
        <f>VLOOKUP(A95,Master!D:G,4,0)</f>
        <v>#N/A</v>
      </c>
      <c r="E95" s="51">
        <v>6.0</v>
      </c>
      <c r="F95" s="52">
        <f>E95+ SUMIF('InOut Inv'!F:H,$F$4&amp;A95,'InOut Inv'!H:H) - SUMIF('Daily Sales'!F:I,$F$4&amp;A95,'Daily Sales'!I:I)</f>
        <v>6</v>
      </c>
      <c r="G95" s="52">
        <f>F95+ SUMIF('InOut Inv'!G:I,$F$4&amp;B95,'InOut Inv'!I:I) - SUMIF('Daily Sales'!G:J,$F$4&amp;B95,'Daily Sales'!J:J)</f>
        <v>6</v>
      </c>
    </row>
    <row r="96" ht="15.75" customHeight="1">
      <c r="A96" s="50" t="s">
        <v>1072</v>
      </c>
      <c r="B96" s="50" t="s">
        <v>473</v>
      </c>
      <c r="C96" s="50" t="s">
        <v>568</v>
      </c>
      <c r="D96" s="50" t="str">
        <f>VLOOKUP(A96,Master!D:G,4,0)</f>
        <v>#N/A</v>
      </c>
      <c r="E96" s="53">
        <v>1.0</v>
      </c>
      <c r="F96" s="52">
        <f>E96+ SUMIF('InOut Inv'!F:H,$F$4&amp;A96,'InOut Inv'!H:H) - SUMIF('Daily Sales'!F:I,$F$4&amp;A96,'Daily Sales'!I:I)</f>
        <v>1</v>
      </c>
      <c r="G96" s="52">
        <f>F96+ SUMIF('InOut Inv'!G:I,$F$4&amp;B96,'InOut Inv'!I:I) - SUMIF('Daily Sales'!G:J,$F$4&amp;B96,'Daily Sales'!J:J)</f>
        <v>1</v>
      </c>
    </row>
    <row r="97" ht="15.75" customHeight="1">
      <c r="A97" s="50" t="s">
        <v>1073</v>
      </c>
      <c r="B97" s="50" t="s">
        <v>473</v>
      </c>
      <c r="C97" s="50" t="s">
        <v>568</v>
      </c>
      <c r="D97" s="50" t="str">
        <f>VLOOKUP(A97,Master!D:G,4,0)</f>
        <v>#N/A</v>
      </c>
      <c r="E97" s="51">
        <v>0.0</v>
      </c>
      <c r="F97" s="52">
        <f>E97+ SUMIF('InOut Inv'!F:H,$F$4&amp;A97,'InOut Inv'!H:H) - SUMIF('Daily Sales'!F:I,$F$4&amp;A97,'Daily Sales'!I:I)</f>
        <v>0</v>
      </c>
      <c r="G97" s="52">
        <f>F97+ SUMIF('InOut Inv'!G:I,$F$4&amp;B97,'InOut Inv'!I:I) - SUMIF('Daily Sales'!G:J,$F$4&amp;B97,'Daily Sales'!J:J)</f>
        <v>0</v>
      </c>
    </row>
    <row r="98" ht="15.75" customHeight="1">
      <c r="A98" s="50" t="s">
        <v>1074</v>
      </c>
      <c r="B98" s="50" t="s">
        <v>473</v>
      </c>
      <c r="C98" s="50" t="s">
        <v>568</v>
      </c>
      <c r="D98" s="50" t="str">
        <f>VLOOKUP(A98,Master!D:G,4,0)</f>
        <v>#N/A</v>
      </c>
      <c r="E98" s="53">
        <v>2.0</v>
      </c>
      <c r="F98" s="52">
        <f>E98+ SUMIF('InOut Inv'!F:H,$F$4&amp;A98,'InOut Inv'!H:H) - SUMIF('Daily Sales'!F:I,$F$4&amp;A98,'Daily Sales'!I:I)</f>
        <v>2</v>
      </c>
      <c r="G98" s="52">
        <f>F98+ SUMIF('InOut Inv'!G:I,$F$4&amp;B98,'InOut Inv'!I:I) - SUMIF('Daily Sales'!G:J,$F$4&amp;B98,'Daily Sales'!J:J)</f>
        <v>2</v>
      </c>
    </row>
    <row r="99" ht="15.75" customHeight="1">
      <c r="A99" s="50" t="s">
        <v>1075</v>
      </c>
      <c r="B99" s="50" t="s">
        <v>473</v>
      </c>
      <c r="C99" s="50" t="s">
        <v>568</v>
      </c>
      <c r="D99" s="50" t="str">
        <f>VLOOKUP(A99,Master!D:G,4,0)</f>
        <v>#N/A</v>
      </c>
      <c r="E99" s="51"/>
      <c r="F99" s="52">
        <f>E99+ SUMIF('InOut Inv'!F:H,$F$4&amp;A99,'InOut Inv'!H:H) - SUMIF('Daily Sales'!F:I,$F$4&amp;A99,'Daily Sales'!I:I)</f>
        <v>0</v>
      </c>
      <c r="G99" s="52">
        <f>F99+ SUMIF('InOut Inv'!G:I,$F$4&amp;B99,'InOut Inv'!I:I) - SUMIF('Daily Sales'!G:J,$F$4&amp;B99,'Daily Sales'!J:J)</f>
        <v>0</v>
      </c>
    </row>
    <row r="100" ht="15.75" customHeight="1">
      <c r="A100" s="50" t="s">
        <v>1076</v>
      </c>
      <c r="B100" s="50" t="s">
        <v>473</v>
      </c>
      <c r="C100" s="50" t="s">
        <v>568</v>
      </c>
      <c r="D100" s="50" t="str">
        <f>VLOOKUP(A100,Master!D:G,4,0)</f>
        <v>#N/A</v>
      </c>
      <c r="E100" s="53">
        <v>0.0</v>
      </c>
      <c r="F100" s="52">
        <f>E100+ SUMIF('InOut Inv'!F:H,$F$4&amp;A100,'InOut Inv'!H:H) - SUMIF('Daily Sales'!F:I,$F$4&amp;A100,'Daily Sales'!I:I)</f>
        <v>0</v>
      </c>
      <c r="G100" s="52">
        <f>F100+ SUMIF('InOut Inv'!G:I,$F$4&amp;B100,'InOut Inv'!I:I) - SUMIF('Daily Sales'!G:J,$F$4&amp;B100,'Daily Sales'!J:J)</f>
        <v>0</v>
      </c>
    </row>
    <row r="101" ht="15.75" customHeight="1">
      <c r="A101" s="50" t="s">
        <v>1077</v>
      </c>
      <c r="B101" s="50" t="s">
        <v>473</v>
      </c>
      <c r="C101" s="50" t="s">
        <v>568</v>
      </c>
      <c r="D101" s="50" t="str">
        <f>VLOOKUP(A101,Master!D:G,4,0)</f>
        <v>#N/A</v>
      </c>
      <c r="E101" s="51">
        <v>0.0</v>
      </c>
      <c r="F101" s="52">
        <f>E101+ SUMIF('InOut Inv'!F:H,$F$4&amp;A101,'InOut Inv'!H:H) - SUMIF('Daily Sales'!F:I,$F$4&amp;A101,'Daily Sales'!I:I)</f>
        <v>0</v>
      </c>
      <c r="G101" s="52">
        <f>F101+ SUMIF('InOut Inv'!G:I,$F$4&amp;B101,'InOut Inv'!I:I) - SUMIF('Daily Sales'!G:J,$F$4&amp;B101,'Daily Sales'!J:J)</f>
        <v>0</v>
      </c>
    </row>
    <row r="102" ht="15.75" customHeight="1">
      <c r="A102" s="50" t="s">
        <v>1078</v>
      </c>
      <c r="B102" s="50" t="s">
        <v>473</v>
      </c>
      <c r="C102" s="50" t="s">
        <v>568</v>
      </c>
      <c r="D102" s="50" t="str">
        <f>VLOOKUP(A102,Master!D:G,4,0)</f>
        <v>#N/A</v>
      </c>
      <c r="E102" s="53">
        <v>83.0</v>
      </c>
      <c r="F102" s="52">
        <f>E102+ SUMIF('InOut Inv'!F:H,$F$4&amp;A102,'InOut Inv'!H:H) - SUMIF('Daily Sales'!F:I,$F$4&amp;A102,'Daily Sales'!I:I)</f>
        <v>83</v>
      </c>
      <c r="G102" s="52">
        <f>F102+ SUMIF('InOut Inv'!G:I,$F$4&amp;B102,'InOut Inv'!I:I) - SUMIF('Daily Sales'!G:J,$F$4&amp;B102,'Daily Sales'!J:J)</f>
        <v>83</v>
      </c>
    </row>
    <row r="103" ht="15.75" customHeight="1">
      <c r="A103" s="50" t="s">
        <v>1079</v>
      </c>
      <c r="B103" s="50" t="s">
        <v>473</v>
      </c>
      <c r="C103" s="50" t="s">
        <v>568</v>
      </c>
      <c r="D103" s="50" t="str">
        <f>VLOOKUP(A103,Master!D:G,4,0)</f>
        <v>#N/A</v>
      </c>
      <c r="E103" s="51">
        <v>94.0</v>
      </c>
      <c r="F103" s="52">
        <f>E103+ SUMIF('InOut Inv'!F:H,$F$4&amp;A103,'InOut Inv'!H:H) - SUMIF('Daily Sales'!F:I,$F$4&amp;A103,'Daily Sales'!I:I)</f>
        <v>94</v>
      </c>
      <c r="G103" s="52">
        <f>F103+ SUMIF('InOut Inv'!G:I,$F$4&amp;B103,'InOut Inv'!I:I) - SUMIF('Daily Sales'!G:J,$F$4&amp;B103,'Daily Sales'!J:J)</f>
        <v>94</v>
      </c>
    </row>
    <row r="104" ht="15.75" customHeight="1">
      <c r="A104" s="50" t="s">
        <v>1080</v>
      </c>
      <c r="B104" s="50" t="s">
        <v>473</v>
      </c>
      <c r="C104" s="50" t="s">
        <v>568</v>
      </c>
      <c r="D104" s="50" t="str">
        <f>VLOOKUP(A104,Master!D:G,4,0)</f>
        <v>#N/A</v>
      </c>
      <c r="E104" s="54">
        <v>12.0</v>
      </c>
      <c r="F104" s="52">
        <f>E104+ SUMIF('InOut Inv'!F:H,$F$4&amp;A104,'InOut Inv'!H:H) - SUMIF('Daily Sales'!F:I,$F$4&amp;A104,'Daily Sales'!I:I)</f>
        <v>12</v>
      </c>
      <c r="G104" s="52">
        <f>F104+ SUMIF('InOut Inv'!G:I,$F$4&amp;B104,'InOut Inv'!I:I) - SUMIF('Daily Sales'!G:J,$F$4&amp;B104,'Daily Sales'!J:J)</f>
        <v>12</v>
      </c>
    </row>
    <row r="105" ht="15.75" customHeight="1">
      <c r="A105" s="50" t="s">
        <v>1081</v>
      </c>
      <c r="B105" s="50" t="s">
        <v>473</v>
      </c>
      <c r="C105" s="50" t="s">
        <v>568</v>
      </c>
      <c r="D105" s="50" t="str">
        <f>VLOOKUP(A105,Master!D:G,4,0)</f>
        <v>#N/A</v>
      </c>
      <c r="E105" s="55">
        <v>5.0</v>
      </c>
      <c r="F105" s="52">
        <f>E105+ SUMIF('InOut Inv'!F:H,$F$4&amp;A105,'InOut Inv'!H:H) - SUMIF('Daily Sales'!F:I,$F$4&amp;A105,'Daily Sales'!I:I)</f>
        <v>5</v>
      </c>
      <c r="G105" s="52">
        <f>F105+ SUMIF('InOut Inv'!G:I,$F$4&amp;B105,'InOut Inv'!I:I) - SUMIF('Daily Sales'!G:J,$F$4&amp;B105,'Daily Sales'!J:J)</f>
        <v>5</v>
      </c>
    </row>
    <row r="106" ht="15.75" customHeight="1">
      <c r="A106" s="50" t="s">
        <v>1082</v>
      </c>
      <c r="B106" s="50" t="s">
        <v>473</v>
      </c>
      <c r="C106" s="50" t="s">
        <v>568</v>
      </c>
      <c r="D106" s="50" t="str">
        <f>VLOOKUP(A106,Master!D:G,4,0)</f>
        <v>#N/A</v>
      </c>
      <c r="E106" s="54">
        <v>1.0</v>
      </c>
      <c r="F106" s="52">
        <f>E106+ SUMIF('InOut Inv'!F:H,$F$4&amp;A106,'InOut Inv'!H:H) - SUMIF('Daily Sales'!F:I,$F$4&amp;A106,'Daily Sales'!I:I)</f>
        <v>1</v>
      </c>
      <c r="G106" s="52">
        <f>F106+ SUMIF('InOut Inv'!G:I,$F$4&amp;B106,'InOut Inv'!I:I) - SUMIF('Daily Sales'!G:J,$F$4&amp;B106,'Daily Sales'!J:J)</f>
        <v>1</v>
      </c>
    </row>
    <row r="107" ht="15.75" customHeight="1">
      <c r="A107" s="50" t="s">
        <v>1083</v>
      </c>
      <c r="B107" s="50" t="s">
        <v>473</v>
      </c>
      <c r="C107" s="50" t="s">
        <v>568</v>
      </c>
      <c r="D107" s="50" t="str">
        <f>VLOOKUP(A107,Master!D:G,4,0)</f>
        <v>#N/A</v>
      </c>
      <c r="E107" s="55">
        <v>4.0</v>
      </c>
      <c r="F107" s="52">
        <f>E107+ SUMIF('InOut Inv'!F:H,$F$4&amp;A107,'InOut Inv'!H:H) - SUMIF('Daily Sales'!F:I,$F$4&amp;A107,'Daily Sales'!I:I)</f>
        <v>4</v>
      </c>
      <c r="G107" s="52">
        <f>F107+ SUMIF('InOut Inv'!G:I,$F$4&amp;B107,'InOut Inv'!I:I) - SUMIF('Daily Sales'!G:J,$F$4&amp;B107,'Daily Sales'!J:J)</f>
        <v>4</v>
      </c>
    </row>
    <row r="108" ht="15.75" customHeight="1">
      <c r="A108" s="50" t="s">
        <v>1084</v>
      </c>
      <c r="B108" s="50" t="s">
        <v>473</v>
      </c>
      <c r="C108" s="50" t="s">
        <v>568</v>
      </c>
      <c r="D108" s="50" t="str">
        <f>VLOOKUP(A108,Master!D:G,4,0)</f>
        <v>#N/A</v>
      </c>
      <c r="E108" s="53">
        <v>20.0</v>
      </c>
      <c r="F108" s="52">
        <f>E108+ SUMIF('InOut Inv'!F:H,$F$4&amp;A108,'InOut Inv'!H:H) - SUMIF('Daily Sales'!F:I,$F$4&amp;A108,'Daily Sales'!I:I)</f>
        <v>20</v>
      </c>
      <c r="G108" s="52">
        <f>F108+ SUMIF('InOut Inv'!G:I,$F$4&amp;B108,'InOut Inv'!I:I) - SUMIF('Daily Sales'!G:J,$F$4&amp;B108,'Daily Sales'!J:J)</f>
        <v>20</v>
      </c>
    </row>
    <row r="109" ht="15.75" customHeight="1">
      <c r="A109" s="50" t="s">
        <v>1085</v>
      </c>
      <c r="B109" s="50" t="s">
        <v>473</v>
      </c>
      <c r="C109" s="50" t="s">
        <v>568</v>
      </c>
      <c r="D109" s="50" t="str">
        <f>VLOOKUP(A109,Master!D:G,4,0)</f>
        <v>#N/A</v>
      </c>
      <c r="E109" s="55">
        <v>5.0</v>
      </c>
      <c r="F109" s="52">
        <f>E109+ SUMIF('InOut Inv'!F:H,$F$4&amp;A109,'InOut Inv'!H:H) - SUMIF('Daily Sales'!F:I,$F$4&amp;A109,'Daily Sales'!I:I)</f>
        <v>5</v>
      </c>
      <c r="G109" s="52">
        <f>F109+ SUMIF('InOut Inv'!G:I,$F$4&amp;B109,'InOut Inv'!I:I) - SUMIF('Daily Sales'!G:J,$F$4&amp;B109,'Daily Sales'!J:J)</f>
        <v>5</v>
      </c>
    </row>
    <row r="110" ht="15.75" customHeight="1">
      <c r="A110" s="50" t="s">
        <v>1086</v>
      </c>
      <c r="B110" s="50" t="s">
        <v>473</v>
      </c>
      <c r="C110" s="50" t="s">
        <v>568</v>
      </c>
      <c r="D110" s="50" t="str">
        <f>VLOOKUP(A110,Master!D:G,4,0)</f>
        <v>#N/A</v>
      </c>
      <c r="E110" s="53">
        <v>449.0</v>
      </c>
      <c r="F110" s="52">
        <f>E110+ SUMIF('InOut Inv'!F:H,$F$4&amp;A110,'InOut Inv'!H:H) - SUMIF('Daily Sales'!F:I,$F$4&amp;A110,'Daily Sales'!I:I)</f>
        <v>449</v>
      </c>
      <c r="G110" s="52">
        <f>F110+ SUMIF('InOut Inv'!G:I,$F$4&amp;B110,'InOut Inv'!I:I) - SUMIF('Daily Sales'!G:J,$F$4&amp;B110,'Daily Sales'!J:J)</f>
        <v>449</v>
      </c>
    </row>
    <row r="111" ht="15.75" customHeight="1">
      <c r="A111" s="50" t="s">
        <v>1087</v>
      </c>
      <c r="B111" s="50" t="s">
        <v>473</v>
      </c>
      <c r="C111" s="50" t="s">
        <v>568</v>
      </c>
      <c r="D111" s="50" t="str">
        <f>VLOOKUP(A111,Master!D:G,4,0)</f>
        <v>#N/A</v>
      </c>
      <c r="E111" s="51">
        <v>0.0</v>
      </c>
      <c r="F111" s="52">
        <f>E111+ SUMIF('InOut Inv'!F:H,$F$4&amp;A111,'InOut Inv'!H:H) - SUMIF('Daily Sales'!F:I,$F$4&amp;A111,'Daily Sales'!I:I)</f>
        <v>0</v>
      </c>
      <c r="G111" s="52">
        <f>F111+ SUMIF('InOut Inv'!G:I,$F$4&amp;B111,'InOut Inv'!I:I) - SUMIF('Daily Sales'!G:J,$F$4&amp;B111,'Daily Sales'!J:J)</f>
        <v>0</v>
      </c>
    </row>
    <row r="112" ht="15.75" customHeight="1">
      <c r="A112" s="50" t="s">
        <v>1088</v>
      </c>
      <c r="B112" s="50" t="s">
        <v>473</v>
      </c>
      <c r="C112" s="50" t="s">
        <v>568</v>
      </c>
      <c r="D112" s="50" t="str">
        <f>VLOOKUP(A112,Master!D:G,4,0)</f>
        <v>#N/A</v>
      </c>
      <c r="E112" s="54">
        <v>4.0</v>
      </c>
      <c r="F112" s="52">
        <f>E112+ SUMIF('InOut Inv'!F:H,$F$4&amp;A112,'InOut Inv'!H:H) - SUMIF('Daily Sales'!F:I,$F$4&amp;A112,'Daily Sales'!I:I)</f>
        <v>4</v>
      </c>
      <c r="G112" s="52">
        <f>F112+ SUMIF('InOut Inv'!G:I,$F$4&amp;B112,'InOut Inv'!I:I) - SUMIF('Daily Sales'!G:J,$F$4&amp;B112,'Daily Sales'!J:J)</f>
        <v>4</v>
      </c>
    </row>
    <row r="113" ht="15.75" customHeight="1">
      <c r="A113" s="50" t="s">
        <v>1089</v>
      </c>
      <c r="B113" s="50" t="s">
        <v>473</v>
      </c>
      <c r="C113" s="50" t="s">
        <v>568</v>
      </c>
      <c r="D113" s="50" t="str">
        <f>VLOOKUP(A113,Master!D:G,4,0)</f>
        <v>#N/A</v>
      </c>
      <c r="E113" s="55">
        <v>3.0</v>
      </c>
      <c r="F113" s="52">
        <f>E113+ SUMIF('InOut Inv'!F:H,$F$4&amp;A113,'InOut Inv'!H:H) - SUMIF('Daily Sales'!F:I,$F$4&amp;A113,'Daily Sales'!I:I)</f>
        <v>3</v>
      </c>
      <c r="G113" s="52">
        <f>F113+ SUMIF('InOut Inv'!G:I,$F$4&amp;B113,'InOut Inv'!I:I) - SUMIF('Daily Sales'!G:J,$F$4&amp;B113,'Daily Sales'!J:J)</f>
        <v>3</v>
      </c>
    </row>
    <row r="114" ht="15.75" customHeight="1">
      <c r="A114" s="50" t="s">
        <v>1090</v>
      </c>
      <c r="B114" s="50" t="s">
        <v>473</v>
      </c>
      <c r="C114" s="50" t="s">
        <v>568</v>
      </c>
      <c r="D114" s="50" t="str">
        <f>VLOOKUP(A114,Master!D:G,4,0)</f>
        <v>#N/A</v>
      </c>
      <c r="E114" s="54">
        <v>3.0</v>
      </c>
      <c r="F114" s="52">
        <f>E114+ SUMIF('InOut Inv'!F:H,$F$4&amp;A114,'InOut Inv'!H:H) - SUMIF('Daily Sales'!F:I,$F$4&amp;A114,'Daily Sales'!I:I)</f>
        <v>3</v>
      </c>
      <c r="G114" s="52">
        <f>F114+ SUMIF('InOut Inv'!G:I,$F$4&amp;B114,'InOut Inv'!I:I) - SUMIF('Daily Sales'!G:J,$F$4&amp;B114,'Daily Sales'!J:J)</f>
        <v>3</v>
      </c>
    </row>
    <row r="115" ht="15.75" customHeight="1">
      <c r="A115" s="50" t="s">
        <v>1091</v>
      </c>
      <c r="B115" s="50" t="s">
        <v>473</v>
      </c>
      <c r="C115" s="50" t="s">
        <v>568</v>
      </c>
      <c r="D115" s="50" t="str">
        <f>VLOOKUP(A115,Master!D:G,4,0)</f>
        <v>#N/A</v>
      </c>
      <c r="E115" s="55">
        <v>2.0</v>
      </c>
      <c r="F115" s="52">
        <f>E115+ SUMIF('InOut Inv'!F:H,$F$4&amp;A115,'InOut Inv'!H:H) - SUMIF('Daily Sales'!F:I,$F$4&amp;A115,'Daily Sales'!I:I)</f>
        <v>2</v>
      </c>
      <c r="G115" s="52">
        <f>F115+ SUMIF('InOut Inv'!G:I,$F$4&amp;B115,'InOut Inv'!I:I) - SUMIF('Daily Sales'!G:J,$F$4&amp;B115,'Daily Sales'!J:J)</f>
        <v>2</v>
      </c>
    </row>
    <row r="116" ht="15.75" customHeight="1">
      <c r="A116" s="50" t="s">
        <v>1092</v>
      </c>
      <c r="B116" s="50" t="s">
        <v>473</v>
      </c>
      <c r="C116" s="50" t="s">
        <v>568</v>
      </c>
      <c r="D116" s="50" t="str">
        <f>VLOOKUP(A116,Master!D:G,4,0)</f>
        <v>#N/A</v>
      </c>
      <c r="E116" s="53">
        <v>4.0</v>
      </c>
      <c r="F116" s="52">
        <f>E116+ SUMIF('InOut Inv'!F:H,$F$4&amp;A116,'InOut Inv'!H:H) - SUMIF('Daily Sales'!F:I,$F$4&amp;A116,'Daily Sales'!I:I)</f>
        <v>4</v>
      </c>
      <c r="G116" s="52">
        <f>F116+ SUMIF('InOut Inv'!G:I,$F$4&amp;B116,'InOut Inv'!I:I) - SUMIF('Daily Sales'!G:J,$F$4&amp;B116,'Daily Sales'!J:J)</f>
        <v>4</v>
      </c>
    </row>
    <row r="117" ht="15.75" customHeight="1">
      <c r="A117" s="50" t="s">
        <v>1093</v>
      </c>
      <c r="B117" s="50" t="s">
        <v>473</v>
      </c>
      <c r="C117" s="50" t="s">
        <v>568</v>
      </c>
      <c r="D117" s="50" t="str">
        <f>VLOOKUP(A117,Master!D:G,4,0)</f>
        <v>#N/A</v>
      </c>
      <c r="E117" s="51">
        <v>2.0</v>
      </c>
      <c r="F117" s="52">
        <f>E117+ SUMIF('InOut Inv'!F:H,$F$4&amp;A117,'InOut Inv'!H:H) - SUMIF('Daily Sales'!F:I,$F$4&amp;A117,'Daily Sales'!I:I)</f>
        <v>2</v>
      </c>
      <c r="G117" s="52">
        <f>F117+ SUMIF('InOut Inv'!G:I,$F$4&amp;B117,'InOut Inv'!I:I) - SUMIF('Daily Sales'!G:J,$F$4&amp;B117,'Daily Sales'!J:J)</f>
        <v>2</v>
      </c>
    </row>
    <row r="118" ht="15.75" customHeight="1">
      <c r="A118" s="50" t="s">
        <v>1094</v>
      </c>
      <c r="B118" s="50" t="s">
        <v>473</v>
      </c>
      <c r="C118" s="50" t="s">
        <v>568</v>
      </c>
      <c r="D118" s="50" t="str">
        <f>VLOOKUP(A118,Master!D:G,4,0)</f>
        <v>#N/A</v>
      </c>
      <c r="E118" s="53">
        <v>2.0</v>
      </c>
      <c r="F118" s="52">
        <f>E118+ SUMIF('InOut Inv'!F:H,$F$4&amp;A118,'InOut Inv'!H:H) - SUMIF('Daily Sales'!F:I,$F$4&amp;A118,'Daily Sales'!I:I)</f>
        <v>2</v>
      </c>
      <c r="G118" s="52">
        <f>F118+ SUMIF('InOut Inv'!G:I,$F$4&amp;B118,'InOut Inv'!I:I) - SUMIF('Daily Sales'!G:J,$F$4&amp;B118,'Daily Sales'!J:J)</f>
        <v>2</v>
      </c>
    </row>
    <row r="119" ht="15.75" customHeight="1">
      <c r="A119" s="50" t="s">
        <v>1095</v>
      </c>
      <c r="B119" s="50" t="s">
        <v>473</v>
      </c>
      <c r="C119" s="50" t="s">
        <v>568</v>
      </c>
      <c r="D119" s="50" t="str">
        <f>VLOOKUP(A119,Master!D:G,4,0)</f>
        <v>#N/A</v>
      </c>
      <c r="E119" s="55">
        <v>2.0</v>
      </c>
      <c r="F119" s="52">
        <f>E119+ SUMIF('InOut Inv'!F:H,$F$4&amp;A119,'InOut Inv'!H:H) - SUMIF('Daily Sales'!F:I,$F$4&amp;A119,'Daily Sales'!I:I)</f>
        <v>2</v>
      </c>
      <c r="G119" s="52">
        <f>F119+ SUMIF('InOut Inv'!G:I,$F$4&amp;B119,'InOut Inv'!I:I) - SUMIF('Daily Sales'!G:J,$F$4&amp;B119,'Daily Sales'!J:J)</f>
        <v>2</v>
      </c>
    </row>
    <row r="120" ht="15.75" customHeight="1">
      <c r="A120" s="50" t="s">
        <v>1096</v>
      </c>
      <c r="B120" s="50" t="s">
        <v>473</v>
      </c>
      <c r="C120" s="50" t="s">
        <v>568</v>
      </c>
      <c r="D120" s="50" t="str">
        <f>VLOOKUP(A120,Master!D:G,4,0)</f>
        <v>#N/A</v>
      </c>
      <c r="E120" s="54">
        <v>2.0</v>
      </c>
      <c r="F120" s="52">
        <f>E120+ SUMIF('InOut Inv'!F:H,$F$4&amp;A120,'InOut Inv'!H:H) - SUMIF('Daily Sales'!F:I,$F$4&amp;A120,'Daily Sales'!I:I)</f>
        <v>2</v>
      </c>
      <c r="G120" s="52">
        <f>F120+ SUMIF('InOut Inv'!G:I,$F$4&amp;B120,'InOut Inv'!I:I) - SUMIF('Daily Sales'!G:J,$F$4&amp;B120,'Daily Sales'!J:J)</f>
        <v>2</v>
      </c>
    </row>
    <row r="121" ht="15.75" customHeight="1">
      <c r="A121" s="50" t="s">
        <v>1097</v>
      </c>
      <c r="B121" s="50" t="s">
        <v>473</v>
      </c>
      <c r="C121" s="50" t="s">
        <v>568</v>
      </c>
      <c r="D121" s="50" t="str">
        <f>VLOOKUP(A121,Master!D:G,4,0)</f>
        <v>#N/A</v>
      </c>
      <c r="E121" s="51">
        <v>2.0</v>
      </c>
      <c r="F121" s="52">
        <f>E121+ SUMIF('InOut Inv'!F:H,$F$4&amp;A121,'InOut Inv'!H:H) - SUMIF('Daily Sales'!F:I,$F$4&amp;A121,'Daily Sales'!I:I)</f>
        <v>2</v>
      </c>
      <c r="G121" s="52">
        <f>F121+ SUMIF('InOut Inv'!G:I,$F$4&amp;B121,'InOut Inv'!I:I) - SUMIF('Daily Sales'!G:J,$F$4&amp;B121,'Daily Sales'!J:J)</f>
        <v>2</v>
      </c>
    </row>
    <row r="122" ht="15.75" customHeight="1">
      <c r="A122" s="50" t="s">
        <v>1098</v>
      </c>
      <c r="B122" s="50" t="s">
        <v>473</v>
      </c>
      <c r="C122" s="50" t="s">
        <v>568</v>
      </c>
      <c r="D122" s="50" t="str">
        <f>VLOOKUP(A122,Master!D:G,4,0)</f>
        <v>#N/A</v>
      </c>
      <c r="E122" s="53">
        <v>4.0</v>
      </c>
      <c r="F122" s="52">
        <f>E122+ SUMIF('InOut Inv'!F:H,$F$4&amp;A122,'InOut Inv'!H:H) - SUMIF('Daily Sales'!F:I,$F$4&amp;A122,'Daily Sales'!I:I)</f>
        <v>4</v>
      </c>
      <c r="G122" s="52">
        <f>F122+ SUMIF('InOut Inv'!G:I,$F$4&amp;B122,'InOut Inv'!I:I) - SUMIF('Daily Sales'!G:J,$F$4&amp;B122,'Daily Sales'!J:J)</f>
        <v>4</v>
      </c>
    </row>
    <row r="123" ht="15.75" customHeight="1">
      <c r="A123" s="50" t="s">
        <v>1099</v>
      </c>
      <c r="B123" s="50" t="s">
        <v>473</v>
      </c>
      <c r="C123" s="50" t="s">
        <v>568</v>
      </c>
      <c r="D123" s="50" t="str">
        <f>VLOOKUP(A123,Master!D:G,4,0)</f>
        <v>#N/A</v>
      </c>
      <c r="E123" s="55">
        <v>2.0</v>
      </c>
      <c r="F123" s="52">
        <f>E123+ SUMIF('InOut Inv'!F:H,$F$4&amp;A123,'InOut Inv'!H:H) - SUMIF('Daily Sales'!F:I,$F$4&amp;A123,'Daily Sales'!I:I)</f>
        <v>2</v>
      </c>
      <c r="G123" s="52">
        <f>F123+ SUMIF('InOut Inv'!G:I,$F$4&amp;B123,'InOut Inv'!I:I) - SUMIF('Daily Sales'!G:J,$F$4&amp;B123,'Daily Sales'!J:J)</f>
        <v>2</v>
      </c>
    </row>
    <row r="124" ht="15.75" customHeight="1">
      <c r="A124" s="50" t="s">
        <v>1100</v>
      </c>
      <c r="B124" s="50" t="s">
        <v>473</v>
      </c>
      <c r="C124" s="50" t="s">
        <v>568</v>
      </c>
      <c r="D124" s="50" t="str">
        <f>VLOOKUP(A124,Master!D:G,4,0)</f>
        <v>#N/A</v>
      </c>
      <c r="E124" s="54">
        <v>3.0</v>
      </c>
      <c r="F124" s="52">
        <f>E124+ SUMIF('InOut Inv'!F:H,$F$4&amp;A124,'InOut Inv'!H:H) - SUMIF('Daily Sales'!F:I,$F$4&amp;A124,'Daily Sales'!I:I)</f>
        <v>3</v>
      </c>
      <c r="G124" s="52">
        <f>F124+ SUMIF('InOut Inv'!G:I,$F$4&amp;B124,'InOut Inv'!I:I) - SUMIF('Daily Sales'!G:J,$F$4&amp;B124,'Daily Sales'!J:J)</f>
        <v>3</v>
      </c>
    </row>
    <row r="125" ht="15.75" customHeight="1">
      <c r="A125" s="50" t="s">
        <v>1101</v>
      </c>
      <c r="B125" s="50" t="s">
        <v>473</v>
      </c>
      <c r="C125" s="50" t="s">
        <v>568</v>
      </c>
      <c r="D125" s="50" t="str">
        <f>VLOOKUP(A125,Master!D:G,4,0)</f>
        <v>#N/A</v>
      </c>
      <c r="E125" s="56">
        <v>1.0</v>
      </c>
      <c r="F125" s="52">
        <f>E125+ SUMIF('InOut Inv'!F:H,$F$4&amp;A125,'InOut Inv'!H:H) - SUMIF('Daily Sales'!F:I,$F$4&amp;A125,'Daily Sales'!I:I)</f>
        <v>1</v>
      </c>
      <c r="G125" s="52">
        <f>F125+ SUMIF('InOut Inv'!G:I,$F$4&amp;B125,'InOut Inv'!I:I) - SUMIF('Daily Sales'!G:J,$F$4&amp;B125,'Daily Sales'!J:J)</f>
        <v>1</v>
      </c>
    </row>
    <row r="126" ht="15.75" customHeight="1">
      <c r="A126" s="50" t="s">
        <v>1102</v>
      </c>
      <c r="B126" s="50" t="s">
        <v>473</v>
      </c>
      <c r="C126" s="50" t="s">
        <v>644</v>
      </c>
      <c r="D126" s="50" t="str">
        <f>VLOOKUP(A126,Master!D:G,4,0)</f>
        <v>#N/A</v>
      </c>
      <c r="E126" s="56">
        <v>8.0</v>
      </c>
      <c r="F126" s="52">
        <f>E126+ SUMIF('InOut Inv'!F:H,$F$4&amp;A126,'InOut Inv'!H:H) - SUMIF('Daily Sales'!F:I,$F$4&amp;A126,'Daily Sales'!I:I)</f>
        <v>8</v>
      </c>
      <c r="G126" s="52">
        <f>F126+ SUMIF('InOut Inv'!G:I,$F$4&amp;B126,'InOut Inv'!I:I) - SUMIF('Daily Sales'!G:J,$F$4&amp;B126,'Daily Sales'!J:J)</f>
        <v>8</v>
      </c>
    </row>
    <row r="127" ht="15.75" customHeight="1">
      <c r="A127" s="50" t="s">
        <v>1103</v>
      </c>
      <c r="B127" s="50" t="s">
        <v>473</v>
      </c>
      <c r="C127" s="50" t="s">
        <v>644</v>
      </c>
      <c r="D127" s="50" t="str">
        <f>VLOOKUP(A127,Master!D:G,4,0)</f>
        <v>#N/A</v>
      </c>
      <c r="E127" s="56">
        <v>1.0</v>
      </c>
      <c r="F127" s="52">
        <f>E127+ SUMIF('InOut Inv'!F:H,$F$4&amp;A127,'InOut Inv'!H:H) - SUMIF('Daily Sales'!F:I,$F$4&amp;A127,'Daily Sales'!I:I)</f>
        <v>1</v>
      </c>
      <c r="G127" s="52">
        <f>F127+ SUMIF('InOut Inv'!G:I,$F$4&amp;B127,'InOut Inv'!I:I) - SUMIF('Daily Sales'!G:J,$F$4&amp;B127,'Daily Sales'!J:J)</f>
        <v>1</v>
      </c>
    </row>
    <row r="128" ht="15.75" customHeight="1">
      <c r="A128" s="50" t="s">
        <v>1104</v>
      </c>
      <c r="B128" s="50" t="s">
        <v>473</v>
      </c>
      <c r="C128" s="50" t="s">
        <v>644</v>
      </c>
      <c r="D128" s="50" t="str">
        <f>VLOOKUP(A128,Master!D:G,4,0)</f>
        <v>#N/A</v>
      </c>
      <c r="E128" s="56">
        <v>9.0</v>
      </c>
      <c r="F128" s="52">
        <f>E128+ SUMIF('InOut Inv'!F:H,$F$4&amp;A128,'InOut Inv'!H:H) - SUMIF('Daily Sales'!F:I,$F$4&amp;A128,'Daily Sales'!I:I)</f>
        <v>9</v>
      </c>
      <c r="G128" s="52">
        <f>F128+ SUMIF('InOut Inv'!G:I,$F$4&amp;B128,'InOut Inv'!I:I) - SUMIF('Daily Sales'!G:J,$F$4&amp;B128,'Daily Sales'!J:J)</f>
        <v>9</v>
      </c>
    </row>
    <row r="129" ht="15.75" customHeight="1">
      <c r="A129" s="50" t="s">
        <v>1105</v>
      </c>
      <c r="B129" s="50" t="s">
        <v>473</v>
      </c>
      <c r="C129" s="50" t="s">
        <v>644</v>
      </c>
      <c r="D129" s="50" t="str">
        <f>VLOOKUP(A129,Master!D:G,4,0)</f>
        <v>#N/A</v>
      </c>
      <c r="E129" s="56">
        <v>9.0</v>
      </c>
      <c r="F129" s="52">
        <f>E129+ SUMIF('InOut Inv'!F:H,$F$4&amp;A129,'InOut Inv'!H:H) - SUMIF('Daily Sales'!F:I,$F$4&amp;A129,'Daily Sales'!I:I)</f>
        <v>9</v>
      </c>
      <c r="G129" s="52">
        <f>F129+ SUMIF('InOut Inv'!G:I,$F$4&amp;B129,'InOut Inv'!I:I) - SUMIF('Daily Sales'!G:J,$F$4&amp;B129,'Daily Sales'!J:J)</f>
        <v>9</v>
      </c>
    </row>
    <row r="130" ht="15.75" customHeight="1">
      <c r="A130" s="50" t="s">
        <v>1106</v>
      </c>
      <c r="B130" s="50" t="s">
        <v>473</v>
      </c>
      <c r="C130" s="50" t="s">
        <v>644</v>
      </c>
      <c r="D130" s="50" t="str">
        <f>VLOOKUP(A130,Master!D:G,4,0)</f>
        <v>#N/A</v>
      </c>
      <c r="E130" s="56">
        <v>13.0</v>
      </c>
      <c r="F130" s="52">
        <f>E130+ SUMIF('InOut Inv'!F:H,$F$4&amp;A130,'InOut Inv'!H:H) - SUMIF('Daily Sales'!F:I,$F$4&amp;A130,'Daily Sales'!I:I)</f>
        <v>13</v>
      </c>
      <c r="G130" s="52">
        <f>F130+ SUMIF('InOut Inv'!G:I,$F$4&amp;B130,'InOut Inv'!I:I) - SUMIF('Daily Sales'!G:J,$F$4&amp;B130,'Daily Sales'!J:J)</f>
        <v>13</v>
      </c>
    </row>
    <row r="131" ht="15.75" customHeight="1">
      <c r="A131" s="50" t="s">
        <v>1107</v>
      </c>
      <c r="B131" s="50" t="s">
        <v>473</v>
      </c>
      <c r="C131" s="50" t="s">
        <v>644</v>
      </c>
      <c r="D131" s="50" t="str">
        <f>VLOOKUP(A131,Master!D:G,4,0)</f>
        <v>#N/A</v>
      </c>
      <c r="E131" s="56">
        <v>8.0</v>
      </c>
      <c r="F131" s="52">
        <f>E131+ SUMIF('InOut Inv'!F:H,$F$4&amp;A131,'InOut Inv'!H:H) - SUMIF('Daily Sales'!F:I,$F$4&amp;A131,'Daily Sales'!I:I)</f>
        <v>8</v>
      </c>
      <c r="G131" s="52">
        <f>F131+ SUMIF('InOut Inv'!G:I,$F$4&amp;B131,'InOut Inv'!I:I) - SUMIF('Daily Sales'!G:J,$F$4&amp;B131,'Daily Sales'!J:J)</f>
        <v>8</v>
      </c>
    </row>
    <row r="132" ht="15.75" customHeight="1">
      <c r="A132" s="50" t="s">
        <v>1108</v>
      </c>
      <c r="B132" s="50" t="s">
        <v>473</v>
      </c>
      <c r="C132" s="50" t="s">
        <v>644</v>
      </c>
      <c r="D132" s="50" t="str">
        <f>VLOOKUP(A132,Master!D:G,4,0)</f>
        <v>#N/A</v>
      </c>
      <c r="E132" s="56">
        <v>10.0</v>
      </c>
      <c r="F132" s="52">
        <f>E132+ SUMIF('InOut Inv'!F:H,$F$4&amp;A132,'InOut Inv'!H:H) - SUMIF('Daily Sales'!F:I,$F$4&amp;A132,'Daily Sales'!I:I)</f>
        <v>10</v>
      </c>
      <c r="G132" s="52">
        <f>F132+ SUMIF('InOut Inv'!G:I,$F$4&amp;B132,'InOut Inv'!I:I) - SUMIF('Daily Sales'!G:J,$F$4&amp;B132,'Daily Sales'!J:J)</f>
        <v>10</v>
      </c>
    </row>
    <row r="133" ht="15.75" customHeight="1">
      <c r="A133" s="50" t="s">
        <v>1109</v>
      </c>
      <c r="B133" s="50" t="s">
        <v>473</v>
      </c>
      <c r="C133" s="50" t="s">
        <v>644</v>
      </c>
      <c r="D133" s="50" t="str">
        <f>VLOOKUP(A133,Master!D:G,4,0)</f>
        <v>#N/A</v>
      </c>
      <c r="E133" s="56">
        <v>0.0</v>
      </c>
      <c r="F133" s="52">
        <f>E133+ SUMIF('InOut Inv'!F:H,$F$4&amp;A133,'InOut Inv'!H:H) - SUMIF('Daily Sales'!F:I,$F$4&amp;A133,'Daily Sales'!I:I)</f>
        <v>0</v>
      </c>
      <c r="G133" s="52">
        <f>F133+ SUMIF('InOut Inv'!G:I,$F$4&amp;B133,'InOut Inv'!I:I) - SUMIF('Daily Sales'!G:J,$F$4&amp;B133,'Daily Sales'!J:J)</f>
        <v>0</v>
      </c>
    </row>
    <row r="134" ht="15.75" customHeight="1">
      <c r="A134" s="50" t="s">
        <v>1110</v>
      </c>
      <c r="B134" s="50" t="s">
        <v>473</v>
      </c>
      <c r="C134" s="50" t="s">
        <v>644</v>
      </c>
      <c r="D134" s="50" t="str">
        <f>VLOOKUP(A134,Master!D:G,4,0)</f>
        <v>#N/A</v>
      </c>
      <c r="E134" s="52">
        <v>4.0</v>
      </c>
      <c r="F134" s="52">
        <f>E134+ SUMIF('InOut Inv'!F:H,$F$4&amp;A134,'InOut Inv'!H:H) - SUMIF('Daily Sales'!F:I,$F$4&amp;A134,'Daily Sales'!I:I)</f>
        <v>4</v>
      </c>
      <c r="G134" s="52">
        <f>F134+ SUMIF('InOut Inv'!G:I,$F$4&amp;B134,'InOut Inv'!I:I) - SUMIF('Daily Sales'!G:J,$F$4&amp;B134,'Daily Sales'!J:J)</f>
        <v>4</v>
      </c>
    </row>
    <row r="135" ht="15.75" customHeight="1">
      <c r="A135" s="50" t="s">
        <v>1111</v>
      </c>
      <c r="B135" s="50" t="s">
        <v>473</v>
      </c>
      <c r="C135" s="50" t="s">
        <v>644</v>
      </c>
      <c r="D135" s="50" t="str">
        <f>VLOOKUP(A135,Master!D:G,4,0)</f>
        <v>#N/A</v>
      </c>
      <c r="E135" s="56">
        <v>9.0</v>
      </c>
      <c r="F135" s="52">
        <f>E135+ SUMIF('InOut Inv'!F:H,$F$4&amp;A135,'InOut Inv'!H:H) - SUMIF('Daily Sales'!F:I,$F$4&amp;A135,'Daily Sales'!I:I)</f>
        <v>9</v>
      </c>
      <c r="G135" s="52">
        <f>F135+ SUMIF('InOut Inv'!G:I,$F$4&amp;B135,'InOut Inv'!I:I) - SUMIF('Daily Sales'!G:J,$F$4&amp;B135,'Daily Sales'!J:J)</f>
        <v>9</v>
      </c>
    </row>
    <row r="136" ht="15.75" customHeight="1">
      <c r="A136" s="50" t="s">
        <v>1112</v>
      </c>
      <c r="B136" s="50" t="s">
        <v>473</v>
      </c>
      <c r="C136" s="50" t="s">
        <v>644</v>
      </c>
      <c r="D136" s="50" t="str">
        <f>VLOOKUP(A136,Master!D:G,4,0)</f>
        <v>#N/A</v>
      </c>
      <c r="E136" s="56">
        <v>2.0</v>
      </c>
      <c r="F136" s="52">
        <f>E136+ SUMIF('InOut Inv'!F:H,$F$4&amp;A136,'InOut Inv'!H:H) - SUMIF('Daily Sales'!F:I,$F$4&amp;A136,'Daily Sales'!I:I)</f>
        <v>2</v>
      </c>
      <c r="G136" s="52">
        <f>F136+ SUMIF('InOut Inv'!G:I,$F$4&amp;B136,'InOut Inv'!I:I) - SUMIF('Daily Sales'!G:J,$F$4&amp;B136,'Daily Sales'!J:J)</f>
        <v>2</v>
      </c>
    </row>
    <row r="137" ht="15.75" customHeight="1">
      <c r="A137" s="50" t="s">
        <v>1113</v>
      </c>
      <c r="B137" s="50" t="s">
        <v>473</v>
      </c>
      <c r="C137" s="50" t="s">
        <v>644</v>
      </c>
      <c r="D137" s="50" t="str">
        <f>VLOOKUP(A137,Master!D:G,4,0)</f>
        <v>#N/A</v>
      </c>
      <c r="E137" s="56">
        <v>1.0</v>
      </c>
      <c r="F137" s="52">
        <f>E137+ SUMIF('InOut Inv'!F:H,$F$4&amp;A137,'InOut Inv'!H:H) - SUMIF('Daily Sales'!F:I,$F$4&amp;A137,'Daily Sales'!I:I)</f>
        <v>1</v>
      </c>
      <c r="G137" s="52">
        <f>F137+ SUMIF('InOut Inv'!G:I,$F$4&amp;B137,'InOut Inv'!I:I) - SUMIF('Daily Sales'!G:J,$F$4&amp;B137,'Daily Sales'!J:J)</f>
        <v>1</v>
      </c>
    </row>
    <row r="138" ht="15.75" customHeight="1">
      <c r="A138" s="50" t="s">
        <v>1114</v>
      </c>
      <c r="B138" s="50" t="s">
        <v>473</v>
      </c>
      <c r="C138" s="50" t="s">
        <v>644</v>
      </c>
      <c r="D138" s="50" t="str">
        <f>VLOOKUP(A138,Master!D:G,4,0)</f>
        <v>#N/A</v>
      </c>
      <c r="E138" s="56">
        <v>5.0</v>
      </c>
      <c r="F138" s="52">
        <f>E138+ SUMIF('InOut Inv'!F:H,$F$4&amp;A138,'InOut Inv'!H:H) - SUMIF('Daily Sales'!F:I,$F$4&amp;A138,'Daily Sales'!I:I)</f>
        <v>5</v>
      </c>
      <c r="G138" s="52">
        <f>F138+ SUMIF('InOut Inv'!G:I,$F$4&amp;B138,'InOut Inv'!I:I) - SUMIF('Daily Sales'!G:J,$F$4&amp;B138,'Daily Sales'!J:J)</f>
        <v>5</v>
      </c>
    </row>
    <row r="139" ht="15.75" customHeight="1">
      <c r="A139" s="50" t="s">
        <v>1115</v>
      </c>
      <c r="B139" s="50" t="s">
        <v>473</v>
      </c>
      <c r="C139" s="50" t="s">
        <v>644</v>
      </c>
      <c r="D139" s="50" t="str">
        <f>VLOOKUP(A139,Master!D:G,4,0)</f>
        <v>#N/A</v>
      </c>
      <c r="E139" s="56">
        <v>0.0</v>
      </c>
      <c r="F139" s="52">
        <f>E139+ SUMIF('InOut Inv'!F:H,$F$4&amp;A139,'InOut Inv'!H:H) - SUMIF('Daily Sales'!F:I,$F$4&amp;A139,'Daily Sales'!I:I)</f>
        <v>0</v>
      </c>
      <c r="G139" s="52">
        <f>F139+ SUMIF('InOut Inv'!G:I,$F$4&amp;B139,'InOut Inv'!I:I) - SUMIF('Daily Sales'!G:J,$F$4&amp;B139,'Daily Sales'!J:J)</f>
        <v>0</v>
      </c>
    </row>
    <row r="140" ht="15.75" customHeight="1">
      <c r="A140" s="50" t="s">
        <v>1116</v>
      </c>
      <c r="B140" s="50" t="s">
        <v>473</v>
      </c>
      <c r="C140" s="50" t="s">
        <v>644</v>
      </c>
      <c r="D140" s="50" t="str">
        <f>VLOOKUP(A140,Master!D:G,4,0)</f>
        <v>#N/A</v>
      </c>
      <c r="E140" s="56">
        <v>2.0</v>
      </c>
      <c r="F140" s="52">
        <f>E140+ SUMIF('InOut Inv'!F:H,$F$4&amp;A140,'InOut Inv'!H:H) - SUMIF('Daily Sales'!F:I,$F$4&amp;A140,'Daily Sales'!I:I)</f>
        <v>2</v>
      </c>
      <c r="G140" s="52">
        <f>F140+ SUMIF('InOut Inv'!G:I,$F$4&amp;B140,'InOut Inv'!I:I) - SUMIF('Daily Sales'!G:J,$F$4&amp;B140,'Daily Sales'!J:J)</f>
        <v>2</v>
      </c>
    </row>
    <row r="141" ht="15.75" customHeight="1">
      <c r="A141" s="50" t="s">
        <v>1117</v>
      </c>
      <c r="B141" s="50" t="s">
        <v>473</v>
      </c>
      <c r="C141" s="50" t="s">
        <v>644</v>
      </c>
      <c r="D141" s="50" t="str">
        <f>VLOOKUP(A141,Master!D:G,4,0)</f>
        <v>#N/A</v>
      </c>
      <c r="E141" s="56">
        <v>2.0</v>
      </c>
      <c r="F141" s="52">
        <f>E141+ SUMIF('InOut Inv'!F:H,$F$4&amp;A141,'InOut Inv'!H:H) - SUMIF('Daily Sales'!F:I,$F$4&amp;A141,'Daily Sales'!I:I)</f>
        <v>2</v>
      </c>
      <c r="G141" s="52">
        <f>F141+ SUMIF('InOut Inv'!G:I,$F$4&amp;B141,'InOut Inv'!I:I) - SUMIF('Daily Sales'!G:J,$F$4&amp;B141,'Daily Sales'!J:J)</f>
        <v>2</v>
      </c>
    </row>
    <row r="142" ht="15.75" customHeight="1">
      <c r="A142" s="50" t="s">
        <v>1118</v>
      </c>
      <c r="B142" s="50" t="s">
        <v>473</v>
      </c>
      <c r="C142" s="50" t="s">
        <v>644</v>
      </c>
      <c r="D142" s="50" t="str">
        <f>VLOOKUP(A142,Master!D:G,4,0)</f>
        <v>#N/A</v>
      </c>
      <c r="E142" s="56">
        <v>3.0</v>
      </c>
      <c r="F142" s="52">
        <f>E142+ SUMIF('InOut Inv'!F:H,$F$4&amp;A142,'InOut Inv'!H:H) - SUMIF('Daily Sales'!F:I,$F$4&amp;A142,'Daily Sales'!I:I)</f>
        <v>3</v>
      </c>
      <c r="G142" s="52">
        <f>F142+ SUMIF('InOut Inv'!G:I,$F$4&amp;B142,'InOut Inv'!I:I) - SUMIF('Daily Sales'!G:J,$F$4&amp;B142,'Daily Sales'!J:J)</f>
        <v>3</v>
      </c>
    </row>
    <row r="143" ht="15.75" customHeight="1">
      <c r="A143" s="50" t="s">
        <v>1119</v>
      </c>
      <c r="B143" s="50" t="s">
        <v>473</v>
      </c>
      <c r="C143" s="50" t="s">
        <v>644</v>
      </c>
      <c r="D143" s="50" t="str">
        <f>VLOOKUP(A143,Master!D:G,4,0)</f>
        <v>#N/A</v>
      </c>
      <c r="E143" s="56">
        <v>3.0</v>
      </c>
      <c r="F143" s="52">
        <f>E143+ SUMIF('InOut Inv'!F:H,$F$4&amp;A143,'InOut Inv'!H:H) - SUMIF('Daily Sales'!F:I,$F$4&amp;A143,'Daily Sales'!I:I)</f>
        <v>3</v>
      </c>
      <c r="G143" s="52">
        <f>F143+ SUMIF('InOut Inv'!G:I,$F$4&amp;B143,'InOut Inv'!I:I) - SUMIF('Daily Sales'!G:J,$F$4&amp;B143,'Daily Sales'!J:J)</f>
        <v>3</v>
      </c>
    </row>
    <row r="144" ht="15.75" customHeight="1">
      <c r="A144" s="50" t="s">
        <v>1120</v>
      </c>
      <c r="B144" s="50" t="s">
        <v>473</v>
      </c>
      <c r="C144" s="50" t="s">
        <v>676</v>
      </c>
      <c r="D144" s="50" t="str">
        <f>VLOOKUP(A144,Master!D:G,4,0)</f>
        <v>#N/A</v>
      </c>
      <c r="E144" s="52">
        <v>4.0</v>
      </c>
      <c r="F144" s="52">
        <f>E144+ SUMIF('InOut Inv'!F:H,$F$4&amp;A144,'InOut Inv'!H:H) - SUMIF('Daily Sales'!F:I,$F$4&amp;A144,'Daily Sales'!I:I)</f>
        <v>4</v>
      </c>
      <c r="G144" s="52">
        <f>F144+ SUMIF('InOut Inv'!G:I,$F$4&amp;B144,'InOut Inv'!I:I) - SUMIF('Daily Sales'!G:J,$F$4&amp;B144,'Daily Sales'!J:J)</f>
        <v>4</v>
      </c>
    </row>
    <row r="145" ht="15.75" customHeight="1">
      <c r="A145" s="50" t="s">
        <v>1121</v>
      </c>
      <c r="B145" s="50" t="s">
        <v>473</v>
      </c>
      <c r="C145" s="50" t="s">
        <v>676</v>
      </c>
      <c r="D145" s="50" t="str">
        <f>VLOOKUP(A145,Master!D:G,4,0)</f>
        <v>#N/A</v>
      </c>
      <c r="E145" s="56">
        <v>10.0</v>
      </c>
      <c r="F145" s="52">
        <f>E145+ SUMIF('InOut Inv'!F:H,$F$4&amp;A145,'InOut Inv'!H:H) - SUMIF('Daily Sales'!F:I,$F$4&amp;A145,'Daily Sales'!I:I)</f>
        <v>10</v>
      </c>
      <c r="G145" s="52">
        <f>F145+ SUMIF('InOut Inv'!G:I,$F$4&amp;B145,'InOut Inv'!I:I) - SUMIF('Daily Sales'!G:J,$F$4&amp;B145,'Daily Sales'!J:J)</f>
        <v>10</v>
      </c>
    </row>
    <row r="146" ht="15.75" customHeight="1">
      <c r="A146" s="50" t="s">
        <v>1122</v>
      </c>
      <c r="B146" s="50" t="s">
        <v>473</v>
      </c>
      <c r="C146" s="50" t="s">
        <v>676</v>
      </c>
      <c r="D146" s="50" t="str">
        <f>VLOOKUP(A146,Master!D:G,4,0)</f>
        <v>#N/A</v>
      </c>
      <c r="E146" s="56">
        <v>10.0</v>
      </c>
      <c r="F146" s="52">
        <f>E146+ SUMIF('InOut Inv'!F:H,$F$4&amp;A146,'InOut Inv'!H:H) - SUMIF('Daily Sales'!F:I,$F$4&amp;A146,'Daily Sales'!I:I)</f>
        <v>10</v>
      </c>
      <c r="G146" s="52">
        <f>F146+ SUMIF('InOut Inv'!G:I,$F$4&amp;B146,'InOut Inv'!I:I) - SUMIF('Daily Sales'!G:J,$F$4&amp;B146,'Daily Sales'!J:J)</f>
        <v>10</v>
      </c>
    </row>
    <row r="147" ht="15.75" customHeight="1">
      <c r="A147" s="50" t="s">
        <v>1123</v>
      </c>
      <c r="B147" s="50" t="s">
        <v>473</v>
      </c>
      <c r="C147" s="50" t="s">
        <v>676</v>
      </c>
      <c r="D147" s="50" t="str">
        <f>VLOOKUP(A147,Master!D:G,4,0)</f>
        <v>#N/A</v>
      </c>
      <c r="E147" s="56">
        <v>0.0</v>
      </c>
      <c r="F147" s="52">
        <f>E147+ SUMIF('InOut Inv'!F:H,$F$4&amp;A147,'InOut Inv'!H:H) - SUMIF('Daily Sales'!F:I,$F$4&amp;A147,'Daily Sales'!I:I)</f>
        <v>0</v>
      </c>
      <c r="G147" s="52">
        <f>F147+ SUMIF('InOut Inv'!G:I,$F$4&amp;B147,'InOut Inv'!I:I) - SUMIF('Daily Sales'!G:J,$F$4&amp;B147,'Daily Sales'!J:J)</f>
        <v>0</v>
      </c>
    </row>
    <row r="148" ht="15.75" customHeight="1">
      <c r="A148" s="50" t="s">
        <v>1124</v>
      </c>
      <c r="B148" s="50" t="s">
        <v>473</v>
      </c>
      <c r="C148" s="50" t="s">
        <v>676</v>
      </c>
      <c r="D148" s="50" t="str">
        <f>VLOOKUP(A148,Master!D:G,4,0)</f>
        <v>#N/A</v>
      </c>
      <c r="E148" s="52">
        <v>0.0</v>
      </c>
      <c r="F148" s="52">
        <f>E148+ SUMIF('InOut Inv'!F:H,$F$4&amp;A148,'InOut Inv'!H:H) - SUMIF('Daily Sales'!F:I,$F$4&amp;A148,'Daily Sales'!I:I)</f>
        <v>0</v>
      </c>
      <c r="G148" s="52">
        <f>F148+ SUMIF('InOut Inv'!G:I,$F$4&amp;B148,'InOut Inv'!I:I) - SUMIF('Daily Sales'!G:J,$F$4&amp;B148,'Daily Sales'!J:J)</f>
        <v>0</v>
      </c>
    </row>
    <row r="149" ht="15.75" customHeight="1">
      <c r="A149" s="50" t="s">
        <v>1125</v>
      </c>
      <c r="B149" s="50" t="s">
        <v>473</v>
      </c>
      <c r="C149" s="50" t="s">
        <v>676</v>
      </c>
      <c r="D149" s="50" t="str">
        <f>VLOOKUP(A149,Master!D:G,4,0)</f>
        <v>#N/A</v>
      </c>
      <c r="E149" s="52">
        <v>13.0</v>
      </c>
      <c r="F149" s="52">
        <f>E149+ SUMIF('InOut Inv'!F:H,$F$4&amp;A149,'InOut Inv'!H:H) - SUMIF('Daily Sales'!F:I,$F$4&amp;A149,'Daily Sales'!I:I)</f>
        <v>13</v>
      </c>
      <c r="G149" s="52">
        <f>F149+ SUMIF('InOut Inv'!G:I,$F$4&amp;B149,'InOut Inv'!I:I) - SUMIF('Daily Sales'!G:J,$F$4&amp;B149,'Daily Sales'!J:J)</f>
        <v>13</v>
      </c>
    </row>
    <row r="150" ht="15.75" customHeight="1">
      <c r="A150" s="50" t="s">
        <v>1126</v>
      </c>
      <c r="B150" s="50" t="s">
        <v>473</v>
      </c>
      <c r="C150" s="50" t="s">
        <v>676</v>
      </c>
      <c r="D150" s="50" t="str">
        <f>VLOOKUP(A150,Master!D:G,4,0)</f>
        <v>#N/A</v>
      </c>
      <c r="E150" s="52">
        <v>5.0</v>
      </c>
      <c r="F150" s="52">
        <f>E150+ SUMIF('InOut Inv'!F:H,$F$4&amp;A150,'InOut Inv'!H:H) - SUMIF('Daily Sales'!F:I,$F$4&amp;A150,'Daily Sales'!I:I)</f>
        <v>5</v>
      </c>
      <c r="G150" s="52">
        <f>F150+ SUMIF('InOut Inv'!G:I,$F$4&amp;B150,'InOut Inv'!I:I) - SUMIF('Daily Sales'!G:J,$F$4&amp;B150,'Daily Sales'!J:J)</f>
        <v>5</v>
      </c>
    </row>
    <row r="151" ht="15.75" customHeight="1">
      <c r="A151" s="50" t="s">
        <v>1127</v>
      </c>
      <c r="B151" s="50" t="s">
        <v>473</v>
      </c>
      <c r="C151" s="50" t="s">
        <v>676</v>
      </c>
      <c r="D151" s="50" t="str">
        <f>VLOOKUP(A151,Master!D:G,4,0)</f>
        <v>#N/A</v>
      </c>
      <c r="E151" s="56">
        <v>16.0</v>
      </c>
      <c r="F151" s="52">
        <f>E151+ SUMIF('InOut Inv'!F:H,$F$4&amp;A151,'InOut Inv'!H:H) - SUMIF('Daily Sales'!F:I,$F$4&amp;A151,'Daily Sales'!I:I)</f>
        <v>16</v>
      </c>
      <c r="G151" s="52">
        <f>F151+ SUMIF('InOut Inv'!G:I,$F$4&amp;B151,'InOut Inv'!I:I) - SUMIF('Daily Sales'!G:J,$F$4&amp;B151,'Daily Sales'!J:J)</f>
        <v>16</v>
      </c>
    </row>
    <row r="152" ht="15.75" customHeight="1">
      <c r="A152" s="50" t="s">
        <v>1128</v>
      </c>
      <c r="B152" s="50" t="s">
        <v>473</v>
      </c>
      <c r="C152" s="50" t="s">
        <v>676</v>
      </c>
      <c r="D152" s="50" t="str">
        <f>VLOOKUP(A152,Master!D:G,4,0)</f>
        <v>#N/A</v>
      </c>
      <c r="E152" s="56">
        <v>19.0</v>
      </c>
      <c r="F152" s="52">
        <f>E152+ SUMIF('InOut Inv'!F:H,$F$4&amp;A152,'InOut Inv'!H:H) - SUMIF('Daily Sales'!F:I,$F$4&amp;A152,'Daily Sales'!I:I)</f>
        <v>19</v>
      </c>
      <c r="G152" s="52">
        <f>F152+ SUMIF('InOut Inv'!G:I,$F$4&amp;B152,'InOut Inv'!I:I) - SUMIF('Daily Sales'!G:J,$F$4&amp;B152,'Daily Sales'!J:J)</f>
        <v>19</v>
      </c>
    </row>
    <row r="153" ht="15.75" customHeight="1">
      <c r="A153" s="50" t="s">
        <v>1129</v>
      </c>
      <c r="B153" s="50" t="s">
        <v>473</v>
      </c>
      <c r="C153" s="50" t="s">
        <v>676</v>
      </c>
      <c r="D153" s="50" t="str">
        <f>VLOOKUP(A153,Master!D:G,4,0)</f>
        <v>#N/A</v>
      </c>
      <c r="E153" s="56">
        <v>11.0</v>
      </c>
      <c r="F153" s="52">
        <f>E153+ SUMIF('InOut Inv'!F:H,$F$4&amp;A153,'InOut Inv'!H:H) - SUMIF('Daily Sales'!F:I,$F$4&amp;A153,'Daily Sales'!I:I)</f>
        <v>11</v>
      </c>
      <c r="G153" s="52">
        <f>F153+ SUMIF('InOut Inv'!G:I,$F$4&amp;B153,'InOut Inv'!I:I) - SUMIF('Daily Sales'!G:J,$F$4&amp;B153,'Daily Sales'!J:J)</f>
        <v>11</v>
      </c>
    </row>
    <row r="154" ht="15.75" customHeight="1">
      <c r="A154" s="50" t="s">
        <v>1130</v>
      </c>
      <c r="B154" s="50" t="s">
        <v>473</v>
      </c>
      <c r="C154" s="50" t="s">
        <v>676</v>
      </c>
      <c r="D154" s="50" t="str">
        <f>VLOOKUP(A154,Master!D:G,4,0)</f>
        <v>#N/A</v>
      </c>
      <c r="E154" s="56">
        <v>19.0</v>
      </c>
      <c r="F154" s="52">
        <f>E154+ SUMIF('InOut Inv'!F:H,$F$4&amp;A154,'InOut Inv'!H:H) - SUMIF('Daily Sales'!F:I,$F$4&amp;A154,'Daily Sales'!I:I)</f>
        <v>19</v>
      </c>
      <c r="G154" s="52">
        <f>F154+ SUMIF('InOut Inv'!G:I,$F$4&amp;B154,'InOut Inv'!I:I) - SUMIF('Daily Sales'!G:J,$F$4&amp;B154,'Daily Sales'!J:J)</f>
        <v>19</v>
      </c>
    </row>
    <row r="155" ht="15.75" customHeight="1">
      <c r="A155" s="50" t="s">
        <v>1131</v>
      </c>
      <c r="B155" s="50" t="s">
        <v>473</v>
      </c>
      <c r="C155" s="50" t="s">
        <v>676</v>
      </c>
      <c r="D155" s="50" t="str">
        <f>VLOOKUP(A155,Master!D:G,4,0)</f>
        <v>#N/A</v>
      </c>
      <c r="E155" s="56">
        <v>0.0</v>
      </c>
      <c r="F155" s="52">
        <f>E155+ SUMIF('InOut Inv'!F:H,$F$4&amp;A155,'InOut Inv'!H:H) - SUMIF('Daily Sales'!F:I,$F$4&amp;A155,'Daily Sales'!I:I)</f>
        <v>0</v>
      </c>
      <c r="G155" s="52">
        <f>F155+ SUMIF('InOut Inv'!G:I,$F$4&amp;B155,'InOut Inv'!I:I) - SUMIF('Daily Sales'!G:J,$F$4&amp;B155,'Daily Sales'!J:J)</f>
        <v>0</v>
      </c>
    </row>
    <row r="156" ht="15.75" customHeight="1">
      <c r="A156" s="50" t="s">
        <v>1132</v>
      </c>
      <c r="B156" s="50" t="s">
        <v>473</v>
      </c>
      <c r="C156" s="50" t="s">
        <v>676</v>
      </c>
      <c r="D156" s="50" t="str">
        <f>VLOOKUP(A156,Master!D:G,4,0)</f>
        <v>#N/A</v>
      </c>
      <c r="E156" s="56">
        <v>6.0</v>
      </c>
      <c r="F156" s="52">
        <f>E156+ SUMIF('InOut Inv'!F:H,$F$4&amp;A156,'InOut Inv'!H:H) - SUMIF('Daily Sales'!F:I,$F$4&amp;A156,'Daily Sales'!I:I)</f>
        <v>6</v>
      </c>
      <c r="G156" s="52">
        <f>F156+ SUMIF('InOut Inv'!G:I,$F$4&amp;B156,'InOut Inv'!I:I) - SUMIF('Daily Sales'!G:J,$F$4&amp;B156,'Daily Sales'!J:J)</f>
        <v>6</v>
      </c>
    </row>
    <row r="157" ht="15.75" customHeight="1">
      <c r="A157" s="50" t="s">
        <v>1133</v>
      </c>
      <c r="B157" s="50" t="s">
        <v>473</v>
      </c>
      <c r="C157" s="50" t="s">
        <v>676</v>
      </c>
      <c r="D157" s="50" t="str">
        <f>VLOOKUP(A157,Master!D:G,4,0)</f>
        <v>#N/A</v>
      </c>
      <c r="E157" s="56">
        <v>5.0</v>
      </c>
      <c r="F157" s="52">
        <f>E157+ SUMIF('InOut Inv'!F:H,$F$4&amp;A157,'InOut Inv'!H:H) - SUMIF('Daily Sales'!F:I,$F$4&amp;A157,'Daily Sales'!I:I)</f>
        <v>5</v>
      </c>
      <c r="G157" s="52">
        <f>F157+ SUMIF('InOut Inv'!G:I,$F$4&amp;B157,'InOut Inv'!I:I) - SUMIF('Daily Sales'!G:J,$F$4&amp;B157,'Daily Sales'!J:J)</f>
        <v>5</v>
      </c>
    </row>
    <row r="158" ht="15.75" customHeight="1">
      <c r="A158" s="50" t="s">
        <v>1134</v>
      </c>
      <c r="B158" s="50" t="s">
        <v>473</v>
      </c>
      <c r="C158" s="50" t="s">
        <v>676</v>
      </c>
      <c r="D158" s="50" t="str">
        <f>VLOOKUP(A158,Master!D:G,4,0)</f>
        <v>#N/A</v>
      </c>
      <c r="E158" s="56">
        <v>12.0</v>
      </c>
      <c r="F158" s="52">
        <f>E158+ SUMIF('InOut Inv'!F:H,$F$4&amp;A158,'InOut Inv'!H:H) - SUMIF('Daily Sales'!F:I,$F$4&amp;A158,'Daily Sales'!I:I)</f>
        <v>12</v>
      </c>
      <c r="G158" s="52">
        <f>F158+ SUMIF('InOut Inv'!G:I,$F$4&amp;B158,'InOut Inv'!I:I) - SUMIF('Daily Sales'!G:J,$F$4&amp;B158,'Daily Sales'!J:J)</f>
        <v>12</v>
      </c>
    </row>
    <row r="159" ht="15.75" customHeight="1">
      <c r="A159" s="50" t="s">
        <v>1135</v>
      </c>
      <c r="B159" s="50" t="s">
        <v>473</v>
      </c>
      <c r="C159" s="50" t="s">
        <v>676</v>
      </c>
      <c r="D159" s="50" t="str">
        <f>VLOOKUP(A159,Master!D:G,4,0)</f>
        <v>#N/A</v>
      </c>
      <c r="E159" s="56">
        <v>5.0</v>
      </c>
      <c r="F159" s="52">
        <f>E159+ SUMIF('InOut Inv'!F:H,$F$4&amp;A159,'InOut Inv'!H:H) - SUMIF('Daily Sales'!F:I,$F$4&amp;A159,'Daily Sales'!I:I)</f>
        <v>5</v>
      </c>
      <c r="G159" s="52">
        <f>F159+ SUMIF('InOut Inv'!G:I,$F$4&amp;B159,'InOut Inv'!I:I) - SUMIF('Daily Sales'!G:J,$F$4&amp;B159,'Daily Sales'!J:J)</f>
        <v>5</v>
      </c>
    </row>
    <row r="160" ht="15.75" customHeight="1">
      <c r="A160" s="50" t="s">
        <v>1136</v>
      </c>
      <c r="B160" s="50" t="s">
        <v>473</v>
      </c>
      <c r="C160" s="50" t="s">
        <v>676</v>
      </c>
      <c r="D160" s="50" t="str">
        <f>VLOOKUP(A160,Master!D:G,4,0)</f>
        <v>#N/A</v>
      </c>
      <c r="E160" s="56">
        <v>4.0</v>
      </c>
      <c r="F160" s="52">
        <f>E160+ SUMIF('InOut Inv'!F:H,$F$4&amp;A160,'InOut Inv'!H:H) - SUMIF('Daily Sales'!F:I,$F$4&amp;A160,'Daily Sales'!I:I)</f>
        <v>4</v>
      </c>
      <c r="G160" s="52">
        <f>F160+ SUMIF('InOut Inv'!G:I,$F$4&amp;B160,'InOut Inv'!I:I) - SUMIF('Daily Sales'!G:J,$F$4&amp;B160,'Daily Sales'!J:J)</f>
        <v>4</v>
      </c>
    </row>
    <row r="161" ht="15.75" customHeight="1">
      <c r="A161" s="50" t="s">
        <v>1137</v>
      </c>
      <c r="B161" s="50" t="s">
        <v>473</v>
      </c>
      <c r="C161" s="50" t="s">
        <v>676</v>
      </c>
      <c r="D161" s="50" t="str">
        <f>VLOOKUP(A161,Master!D:G,4,0)</f>
        <v>#N/A</v>
      </c>
      <c r="E161" s="56">
        <v>0.0</v>
      </c>
      <c r="F161" s="52">
        <f>E161+ SUMIF('InOut Inv'!F:H,$F$4&amp;A161,'InOut Inv'!H:H) - SUMIF('Daily Sales'!F:I,$F$4&amp;A161,'Daily Sales'!I:I)</f>
        <v>0</v>
      </c>
      <c r="G161" s="52">
        <f>F161+ SUMIF('InOut Inv'!G:I,$F$4&amp;B161,'InOut Inv'!I:I) - SUMIF('Daily Sales'!G:J,$F$4&amp;B161,'Daily Sales'!J:J)</f>
        <v>0</v>
      </c>
    </row>
    <row r="162" ht="15.75" customHeight="1">
      <c r="A162" s="50" t="s">
        <v>1138</v>
      </c>
      <c r="B162" s="50" t="s">
        <v>473</v>
      </c>
      <c r="C162" s="50" t="s">
        <v>676</v>
      </c>
      <c r="D162" s="50" t="str">
        <f>VLOOKUP(A162,Master!D:G,4,0)</f>
        <v>#N/A</v>
      </c>
      <c r="E162" s="56">
        <v>0.0</v>
      </c>
      <c r="F162" s="52">
        <f>E162+ SUMIF('InOut Inv'!F:H,$F$4&amp;A162,'InOut Inv'!H:H) - SUMIF('Daily Sales'!F:I,$F$4&amp;A162,'Daily Sales'!I:I)</f>
        <v>0</v>
      </c>
      <c r="G162" s="52">
        <f>F162+ SUMIF('InOut Inv'!G:I,$F$4&amp;B162,'InOut Inv'!I:I) - SUMIF('Daily Sales'!G:J,$F$4&amp;B162,'Daily Sales'!J:J)</f>
        <v>0</v>
      </c>
    </row>
    <row r="163" ht="15.75" customHeight="1">
      <c r="A163" s="50" t="s">
        <v>1139</v>
      </c>
      <c r="B163" s="50" t="s">
        <v>473</v>
      </c>
      <c r="C163" s="50" t="s">
        <v>676</v>
      </c>
      <c r="D163" s="50" t="str">
        <f>VLOOKUP(A163,Master!D:G,4,0)</f>
        <v>#N/A</v>
      </c>
      <c r="E163" s="56">
        <v>5.0</v>
      </c>
      <c r="F163" s="52">
        <f>E163+ SUMIF('InOut Inv'!F:H,$F$4&amp;A163,'InOut Inv'!H:H) - SUMIF('Daily Sales'!F:I,$F$4&amp;A163,'Daily Sales'!I:I)</f>
        <v>5</v>
      </c>
      <c r="G163" s="52">
        <f>F163+ SUMIF('InOut Inv'!G:I,$F$4&amp;B163,'InOut Inv'!I:I) - SUMIF('Daily Sales'!G:J,$F$4&amp;B163,'Daily Sales'!J:J)</f>
        <v>5</v>
      </c>
    </row>
    <row r="164" ht="15.75" customHeight="1">
      <c r="A164" s="50" t="s">
        <v>1140</v>
      </c>
      <c r="B164" s="50" t="s">
        <v>473</v>
      </c>
      <c r="C164" s="50" t="s">
        <v>676</v>
      </c>
      <c r="D164" s="50" t="str">
        <f>VLOOKUP(A164,Master!D:G,4,0)</f>
        <v>#N/A</v>
      </c>
      <c r="E164" s="56">
        <v>3.0</v>
      </c>
      <c r="F164" s="52">
        <f>E164+ SUMIF('InOut Inv'!F:H,$F$4&amp;A164,'InOut Inv'!H:H) - SUMIF('Daily Sales'!F:I,$F$4&amp;A164,'Daily Sales'!I:I)</f>
        <v>3</v>
      </c>
      <c r="G164" s="52">
        <f>F164+ SUMIF('InOut Inv'!G:I,$F$4&amp;B164,'InOut Inv'!I:I) - SUMIF('Daily Sales'!G:J,$F$4&amp;B164,'Daily Sales'!J:J)</f>
        <v>3</v>
      </c>
    </row>
    <row r="165" ht="15.75" customHeight="1">
      <c r="A165" s="50" t="s">
        <v>1141</v>
      </c>
      <c r="B165" s="50" t="s">
        <v>473</v>
      </c>
      <c r="C165" s="50" t="s">
        <v>676</v>
      </c>
      <c r="D165" s="50" t="str">
        <f>VLOOKUP(A165,Master!D:G,4,0)</f>
        <v>#N/A</v>
      </c>
      <c r="E165" s="52">
        <v>9.0</v>
      </c>
      <c r="F165" s="52">
        <f>E165+ SUMIF('InOut Inv'!F:H,$F$4&amp;A165,'InOut Inv'!H:H) - SUMIF('Daily Sales'!F:I,$F$4&amp;A165,'Daily Sales'!I:I)</f>
        <v>9</v>
      </c>
      <c r="G165" s="52">
        <f>F165+ SUMIF('InOut Inv'!G:I,$F$4&amp;B165,'InOut Inv'!I:I) - SUMIF('Daily Sales'!G:J,$F$4&amp;B165,'Daily Sales'!J:J)</f>
        <v>9</v>
      </c>
    </row>
    <row r="166" ht="15.75" customHeight="1">
      <c r="A166" s="50" t="s">
        <v>1142</v>
      </c>
      <c r="B166" s="50" t="s">
        <v>473</v>
      </c>
      <c r="C166" s="50" t="s">
        <v>676</v>
      </c>
      <c r="D166" s="50" t="str">
        <f>VLOOKUP(A166,Master!D:G,4,0)</f>
        <v>#N/A</v>
      </c>
      <c r="E166" s="56">
        <v>1.0</v>
      </c>
      <c r="F166" s="52">
        <f>E166+ SUMIF('InOut Inv'!F:H,$F$4&amp;A166,'InOut Inv'!H:H) - SUMIF('Daily Sales'!F:I,$F$4&amp;A166,'Daily Sales'!I:I)</f>
        <v>1</v>
      </c>
      <c r="G166" s="52">
        <f>F166+ SUMIF('InOut Inv'!G:I,$F$4&amp;B166,'InOut Inv'!I:I) - SUMIF('Daily Sales'!G:J,$F$4&amp;B166,'Daily Sales'!J:J)</f>
        <v>1</v>
      </c>
    </row>
    <row r="167" ht="15.75" customHeight="1">
      <c r="A167" s="50" t="s">
        <v>1143</v>
      </c>
      <c r="B167" s="50" t="s">
        <v>473</v>
      </c>
      <c r="C167" s="50" t="s">
        <v>676</v>
      </c>
      <c r="D167" s="50" t="str">
        <f>VLOOKUP(A167,Master!D:G,4,0)</f>
        <v>#N/A</v>
      </c>
      <c r="E167" s="56">
        <v>3.0</v>
      </c>
      <c r="F167" s="52">
        <f>E167+ SUMIF('InOut Inv'!F:H,$F$4&amp;A167,'InOut Inv'!H:H) - SUMIF('Daily Sales'!F:I,$F$4&amp;A167,'Daily Sales'!I:I)</f>
        <v>3</v>
      </c>
      <c r="G167" s="52">
        <f>F167+ SUMIF('InOut Inv'!G:I,$F$4&amp;B167,'InOut Inv'!I:I) - SUMIF('Daily Sales'!G:J,$F$4&amp;B167,'Daily Sales'!J:J)</f>
        <v>3</v>
      </c>
    </row>
    <row r="168" ht="15.75" customHeight="1">
      <c r="A168" s="50" t="s">
        <v>1144</v>
      </c>
      <c r="B168" s="50" t="s">
        <v>473</v>
      </c>
      <c r="C168" s="50" t="s">
        <v>676</v>
      </c>
      <c r="D168" s="50" t="str">
        <f>VLOOKUP(A168,Master!D:G,4,0)</f>
        <v>#N/A</v>
      </c>
      <c r="E168" s="56">
        <v>5.0</v>
      </c>
      <c r="F168" s="52">
        <f>E168+ SUMIF('InOut Inv'!F:H,$F$4&amp;A168,'InOut Inv'!H:H) - SUMIF('Daily Sales'!F:I,$F$4&amp;A168,'Daily Sales'!I:I)</f>
        <v>5</v>
      </c>
      <c r="G168" s="52">
        <f>F168+ SUMIF('InOut Inv'!G:I,$F$4&amp;B168,'InOut Inv'!I:I) - SUMIF('Daily Sales'!G:J,$F$4&amp;B168,'Daily Sales'!J:J)</f>
        <v>5</v>
      </c>
    </row>
    <row r="169" ht="15.75" customHeight="1">
      <c r="A169" s="50" t="s">
        <v>1145</v>
      </c>
      <c r="B169" s="50" t="s">
        <v>473</v>
      </c>
      <c r="C169" s="50" t="s">
        <v>676</v>
      </c>
      <c r="D169" s="50" t="str">
        <f>VLOOKUP(A169,Master!D:G,4,0)</f>
        <v>#N/A</v>
      </c>
      <c r="E169" s="56">
        <v>5.0</v>
      </c>
      <c r="F169" s="52">
        <f>E169+ SUMIF('InOut Inv'!F:H,$F$4&amp;A169,'InOut Inv'!H:H) - SUMIF('Daily Sales'!F:I,$F$4&amp;A169,'Daily Sales'!I:I)</f>
        <v>5</v>
      </c>
      <c r="G169" s="52">
        <f>F169+ SUMIF('InOut Inv'!G:I,$F$4&amp;B169,'InOut Inv'!I:I) - SUMIF('Daily Sales'!G:J,$F$4&amp;B169,'Daily Sales'!J:J)</f>
        <v>5</v>
      </c>
    </row>
    <row r="170" ht="15.75" customHeight="1">
      <c r="A170" s="50" t="s">
        <v>1146</v>
      </c>
      <c r="B170" s="50" t="s">
        <v>473</v>
      </c>
      <c r="C170" s="50" t="s">
        <v>676</v>
      </c>
      <c r="D170" s="50" t="str">
        <f>VLOOKUP(A170,Master!D:G,4,0)</f>
        <v>#N/A</v>
      </c>
      <c r="E170" s="56">
        <v>0.0</v>
      </c>
      <c r="F170" s="52">
        <f>E170+ SUMIF('InOut Inv'!F:H,$F$4&amp;A170,'InOut Inv'!H:H) - SUMIF('Daily Sales'!F:I,$F$4&amp;A170,'Daily Sales'!I:I)</f>
        <v>0</v>
      </c>
      <c r="G170" s="52">
        <f>F170+ SUMIF('InOut Inv'!G:I,$F$4&amp;B170,'InOut Inv'!I:I) - SUMIF('Daily Sales'!G:J,$F$4&amp;B170,'Daily Sales'!J:J)</f>
        <v>0</v>
      </c>
    </row>
    <row r="171" ht="15.75" customHeight="1">
      <c r="A171" s="50" t="s">
        <v>1147</v>
      </c>
      <c r="B171" s="50" t="s">
        <v>473</v>
      </c>
      <c r="C171" s="50" t="s">
        <v>676</v>
      </c>
      <c r="D171" s="50" t="str">
        <f>VLOOKUP(A171,Master!D:G,4,0)</f>
        <v>#N/A</v>
      </c>
      <c r="E171" s="56">
        <v>10.0</v>
      </c>
      <c r="F171" s="52">
        <f>E171+ SUMIF('InOut Inv'!F:H,$F$4&amp;A171,'InOut Inv'!H:H) - SUMIF('Daily Sales'!F:I,$F$4&amp;A171,'Daily Sales'!I:I)</f>
        <v>10</v>
      </c>
      <c r="G171" s="52">
        <f>F171+ SUMIF('InOut Inv'!G:I,$F$4&amp;B171,'InOut Inv'!I:I) - SUMIF('Daily Sales'!G:J,$F$4&amp;B171,'Daily Sales'!J:J)</f>
        <v>10</v>
      </c>
    </row>
    <row r="172" ht="15.75" customHeight="1">
      <c r="A172" s="50" t="s">
        <v>1148</v>
      </c>
      <c r="B172" s="50" t="s">
        <v>473</v>
      </c>
      <c r="C172" s="50" t="s">
        <v>676</v>
      </c>
      <c r="D172" s="50" t="str">
        <f>VLOOKUP(A172,Master!D:G,4,0)</f>
        <v>#N/A</v>
      </c>
      <c r="E172" s="56">
        <v>12.0</v>
      </c>
      <c r="F172" s="52">
        <f>E172+ SUMIF('InOut Inv'!F:H,$F$4&amp;A172,'InOut Inv'!H:H) - SUMIF('Daily Sales'!F:I,$F$4&amp;A172,'Daily Sales'!I:I)</f>
        <v>12</v>
      </c>
      <c r="G172" s="52">
        <f>F172+ SUMIF('InOut Inv'!G:I,$F$4&amp;B172,'InOut Inv'!I:I) - SUMIF('Daily Sales'!G:J,$F$4&amp;B172,'Daily Sales'!J:J)</f>
        <v>12</v>
      </c>
    </row>
    <row r="173" ht="15.75" customHeight="1">
      <c r="A173" s="50" t="s">
        <v>1149</v>
      </c>
      <c r="B173" s="50" t="s">
        <v>473</v>
      </c>
      <c r="C173" s="50" t="s">
        <v>676</v>
      </c>
      <c r="D173" s="50" t="str">
        <f>VLOOKUP(A173,Master!D:G,4,0)</f>
        <v>#N/A</v>
      </c>
      <c r="E173" s="56">
        <v>3.0</v>
      </c>
      <c r="F173" s="52">
        <f>E173+ SUMIF('InOut Inv'!F:H,$F$4&amp;A173,'InOut Inv'!H:H) - SUMIF('Daily Sales'!F:I,$F$4&amp;A173,'Daily Sales'!I:I)</f>
        <v>3</v>
      </c>
      <c r="G173" s="52">
        <f>F173+ SUMIF('InOut Inv'!G:I,$F$4&amp;B173,'InOut Inv'!I:I) - SUMIF('Daily Sales'!G:J,$F$4&amp;B173,'Daily Sales'!J:J)</f>
        <v>3</v>
      </c>
    </row>
    <row r="174" ht="15.75" customHeight="1">
      <c r="A174" s="50" t="s">
        <v>1150</v>
      </c>
      <c r="B174" s="50" t="s">
        <v>473</v>
      </c>
      <c r="C174" s="50" t="s">
        <v>676</v>
      </c>
      <c r="D174" s="50" t="str">
        <f>VLOOKUP(A174,Master!D:G,4,0)</f>
        <v>#N/A</v>
      </c>
      <c r="E174" s="56">
        <v>1.0</v>
      </c>
      <c r="F174" s="52">
        <f>E174+ SUMIF('InOut Inv'!F:H,$F$4&amp;A174,'InOut Inv'!H:H) - SUMIF('Daily Sales'!F:I,$F$4&amp;A174,'Daily Sales'!I:I)</f>
        <v>1</v>
      </c>
      <c r="G174" s="52">
        <f>F174+ SUMIF('InOut Inv'!G:I,$F$4&amp;B174,'InOut Inv'!I:I) - SUMIF('Daily Sales'!G:J,$F$4&amp;B174,'Daily Sales'!J:J)</f>
        <v>1</v>
      </c>
    </row>
    <row r="175" ht="15.75" customHeight="1">
      <c r="A175" s="50" t="s">
        <v>1151</v>
      </c>
      <c r="B175" s="50" t="s">
        <v>820</v>
      </c>
      <c r="C175" s="50" t="s">
        <v>821</v>
      </c>
      <c r="D175" s="50" t="str">
        <f>VLOOKUP(A175,Master!D:G,4,0)</f>
        <v>#N/A</v>
      </c>
      <c r="E175" s="53">
        <v>1.0</v>
      </c>
      <c r="F175" s="52">
        <f>E175+ SUMIF('InOut Inv'!F:H,$F$4&amp;A175,'InOut Inv'!H:H) - SUMIF('Daily Sales'!F:I,$F$4&amp;A175,'Daily Sales'!I:I)</f>
        <v>1</v>
      </c>
      <c r="G175" s="52">
        <f>F175+ SUMIF('InOut Inv'!G:I,$F$4&amp;B175,'InOut Inv'!I:I) - SUMIF('Daily Sales'!G:J,$F$4&amp;B175,'Daily Sales'!J:J)</f>
        <v>1</v>
      </c>
    </row>
    <row r="176" ht="15.75" customHeight="1">
      <c r="A176" s="50" t="s">
        <v>1152</v>
      </c>
      <c r="B176" s="50" t="s">
        <v>820</v>
      </c>
      <c r="C176" s="50" t="s">
        <v>821</v>
      </c>
      <c r="D176" s="50" t="str">
        <f>VLOOKUP(A176,Master!D:G,4,0)</f>
        <v>#N/A</v>
      </c>
      <c r="E176" s="51">
        <v>6.0</v>
      </c>
      <c r="F176" s="52">
        <f>E176+ SUMIF('InOut Inv'!F:H,$F$4&amp;A176,'InOut Inv'!H:H) - SUMIF('Daily Sales'!F:I,$F$4&amp;A176,'Daily Sales'!I:I)</f>
        <v>6</v>
      </c>
      <c r="G176" s="52">
        <f>F176+ SUMIF('InOut Inv'!G:I,$F$4&amp;B176,'InOut Inv'!I:I) - SUMIF('Daily Sales'!G:J,$F$4&amp;B176,'Daily Sales'!J:J)</f>
        <v>6</v>
      </c>
    </row>
    <row r="177" ht="15.75" customHeight="1">
      <c r="A177" s="50" t="s">
        <v>1153</v>
      </c>
      <c r="B177" s="50" t="s">
        <v>820</v>
      </c>
      <c r="C177" s="50" t="s">
        <v>826</v>
      </c>
      <c r="D177" s="50" t="str">
        <f>VLOOKUP(A177,Master!D:G,4,0)</f>
        <v>#N/A</v>
      </c>
      <c r="E177" s="53">
        <v>1.0</v>
      </c>
      <c r="F177" s="52">
        <f>E177+ SUMIF('InOut Inv'!F:H,$F$4&amp;A177,'InOut Inv'!H:H) - SUMIF('Daily Sales'!F:I,$F$4&amp;A177,'Daily Sales'!I:I)</f>
        <v>1</v>
      </c>
      <c r="G177" s="52">
        <f>F177+ SUMIF('InOut Inv'!G:I,$F$4&amp;B177,'InOut Inv'!I:I) - SUMIF('Daily Sales'!G:J,$F$4&amp;B177,'Daily Sales'!J:J)</f>
        <v>1</v>
      </c>
    </row>
    <row r="178" ht="15.75" customHeight="1">
      <c r="A178" s="50" t="s">
        <v>1154</v>
      </c>
      <c r="B178" s="50" t="s">
        <v>820</v>
      </c>
      <c r="C178" s="50" t="s">
        <v>826</v>
      </c>
      <c r="D178" s="50" t="str">
        <f>VLOOKUP(A178,Master!D:G,4,0)</f>
        <v>#N/A</v>
      </c>
      <c r="E178" s="51">
        <v>0.0</v>
      </c>
      <c r="F178" s="52">
        <f>E178+ SUMIF('InOut Inv'!F:H,$F$4&amp;A178,'InOut Inv'!H:H) - SUMIF('Daily Sales'!F:I,$F$4&amp;A178,'Daily Sales'!I:I)</f>
        <v>0</v>
      </c>
      <c r="G178" s="52">
        <f>F178+ SUMIF('InOut Inv'!G:I,$F$4&amp;B178,'InOut Inv'!I:I) - SUMIF('Daily Sales'!G:J,$F$4&amp;B178,'Daily Sales'!J:J)</f>
        <v>0</v>
      </c>
    </row>
    <row r="179" ht="15.75" customHeight="1">
      <c r="A179" s="50" t="s">
        <v>1155</v>
      </c>
      <c r="B179" s="50" t="s">
        <v>820</v>
      </c>
      <c r="C179" s="50" t="s">
        <v>826</v>
      </c>
      <c r="D179" s="50" t="str">
        <f>VLOOKUP(A179,Master!D:G,4,0)</f>
        <v>#N/A</v>
      </c>
      <c r="E179" s="54">
        <v>4.0</v>
      </c>
      <c r="F179" s="52">
        <f>E179+ SUMIF('InOut Inv'!F:H,$F$4&amp;A179,'InOut Inv'!H:H) - SUMIF('Daily Sales'!F:I,$F$4&amp;A179,'Daily Sales'!I:I)</f>
        <v>4</v>
      </c>
      <c r="G179" s="52">
        <f>F179+ SUMIF('InOut Inv'!G:I,$F$4&amp;B179,'InOut Inv'!I:I) - SUMIF('Daily Sales'!G:J,$F$4&amp;B179,'Daily Sales'!J:J)</f>
        <v>4</v>
      </c>
    </row>
    <row r="180" ht="15.75" customHeight="1">
      <c r="A180" s="50" t="s">
        <v>1156</v>
      </c>
      <c r="B180" s="50" t="s">
        <v>820</v>
      </c>
      <c r="C180" s="50" t="s">
        <v>826</v>
      </c>
      <c r="D180" s="50" t="str">
        <f>VLOOKUP(A180,Master!D:G,4,0)</f>
        <v>#N/A</v>
      </c>
      <c r="E180" s="55">
        <v>11.0</v>
      </c>
      <c r="F180" s="52">
        <f>E180+ SUMIF('InOut Inv'!F:H,$F$4&amp;A180,'InOut Inv'!H:H) - SUMIF('Daily Sales'!F:I,$F$4&amp;A180,'Daily Sales'!I:I)</f>
        <v>11</v>
      </c>
      <c r="G180" s="52">
        <f>F180+ SUMIF('InOut Inv'!G:I,$F$4&amp;B180,'InOut Inv'!I:I) - SUMIF('Daily Sales'!G:J,$F$4&amp;B180,'Daily Sales'!J:J)</f>
        <v>11</v>
      </c>
    </row>
    <row r="181" ht="15.75" customHeight="1">
      <c r="A181" s="50" t="s">
        <v>1157</v>
      </c>
      <c r="B181" s="50" t="s">
        <v>820</v>
      </c>
      <c r="C181" s="50" t="s">
        <v>826</v>
      </c>
      <c r="D181" s="50" t="str">
        <f>VLOOKUP(A181,Master!D:G,4,0)</f>
        <v>#N/A</v>
      </c>
      <c r="E181" s="54">
        <v>4.0</v>
      </c>
      <c r="F181" s="52">
        <f>E181+ SUMIF('InOut Inv'!F:H,$F$4&amp;A181,'InOut Inv'!H:H) - SUMIF('Daily Sales'!F:I,$F$4&amp;A181,'Daily Sales'!I:I)</f>
        <v>4</v>
      </c>
      <c r="G181" s="52">
        <f>F181+ SUMIF('InOut Inv'!G:I,$F$4&amp;B181,'InOut Inv'!I:I) - SUMIF('Daily Sales'!G:J,$F$4&amp;B181,'Daily Sales'!J:J)</f>
        <v>4</v>
      </c>
    </row>
    <row r="182" ht="15.75" customHeight="1">
      <c r="A182" s="50" t="s">
        <v>1158</v>
      </c>
      <c r="B182" s="50" t="s">
        <v>820</v>
      </c>
      <c r="C182" s="50" t="s">
        <v>826</v>
      </c>
      <c r="D182" s="50" t="str">
        <f>VLOOKUP(A182,Master!D:G,4,0)</f>
        <v>#N/A</v>
      </c>
      <c r="E182" s="55">
        <v>1.0</v>
      </c>
      <c r="F182" s="52">
        <f>E182+ SUMIF('InOut Inv'!F:H,$F$4&amp;A182,'InOut Inv'!H:H) - SUMIF('Daily Sales'!F:I,$F$4&amp;A182,'Daily Sales'!I:I)</f>
        <v>1</v>
      </c>
      <c r="G182" s="52">
        <f>F182+ SUMIF('InOut Inv'!G:I,$F$4&amp;B182,'InOut Inv'!I:I) - SUMIF('Daily Sales'!G:J,$F$4&amp;B182,'Daily Sales'!J:J)</f>
        <v>1</v>
      </c>
    </row>
    <row r="183" ht="15.75" customHeight="1">
      <c r="A183" s="50" t="s">
        <v>1159</v>
      </c>
      <c r="B183" s="50" t="s">
        <v>820</v>
      </c>
      <c r="C183" s="50" t="s">
        <v>826</v>
      </c>
      <c r="D183" s="50" t="str">
        <f>VLOOKUP(A183,Master!D:G,4,0)</f>
        <v>#N/A</v>
      </c>
      <c r="E183" s="54">
        <v>7.0</v>
      </c>
      <c r="F183" s="52">
        <f>E183+ SUMIF('InOut Inv'!F:H,$F$4&amp;A183,'InOut Inv'!H:H) - SUMIF('Daily Sales'!F:I,$F$4&amp;A183,'Daily Sales'!I:I)</f>
        <v>7</v>
      </c>
      <c r="G183" s="52">
        <f>F183+ SUMIF('InOut Inv'!G:I,$F$4&amp;B183,'InOut Inv'!I:I) - SUMIF('Daily Sales'!G:J,$F$4&amp;B183,'Daily Sales'!J:J)</f>
        <v>7</v>
      </c>
    </row>
    <row r="184" ht="15.75" customHeight="1">
      <c r="A184" s="50" t="s">
        <v>1160</v>
      </c>
      <c r="B184" s="50" t="s">
        <v>820</v>
      </c>
      <c r="C184" s="50" t="s">
        <v>841</v>
      </c>
      <c r="D184" s="50" t="str">
        <f>VLOOKUP(A184,Master!D:G,4,0)</f>
        <v>#N/A</v>
      </c>
      <c r="E184" s="51">
        <v>2.0</v>
      </c>
      <c r="F184" s="52">
        <f>E184+ SUMIF('InOut Inv'!F:H,$F$4&amp;A184,'InOut Inv'!H:H) - SUMIF('Daily Sales'!F:I,$F$4&amp;A184,'Daily Sales'!I:I)</f>
        <v>2</v>
      </c>
      <c r="G184" s="52">
        <f>F184+ SUMIF('InOut Inv'!G:I,$F$4&amp;B184,'InOut Inv'!I:I) - SUMIF('Daily Sales'!G:J,$F$4&amp;B184,'Daily Sales'!J:J)</f>
        <v>2</v>
      </c>
    </row>
    <row r="185" ht="15.75" customHeight="1">
      <c r="A185" s="50" t="s">
        <v>1161</v>
      </c>
      <c r="B185" s="50" t="s">
        <v>820</v>
      </c>
      <c r="C185" s="50" t="s">
        <v>841</v>
      </c>
      <c r="D185" s="50" t="str">
        <f>VLOOKUP(A185,Master!D:G,4,0)</f>
        <v>#N/A</v>
      </c>
      <c r="E185" s="54">
        <v>1.0</v>
      </c>
      <c r="F185" s="52">
        <f>E185+ SUMIF('InOut Inv'!F:H,$F$4&amp;A185,'InOut Inv'!H:H) - SUMIF('Daily Sales'!F:I,$F$4&amp;A185,'Daily Sales'!I:I)</f>
        <v>1</v>
      </c>
      <c r="G185" s="52">
        <f>F185+ SUMIF('InOut Inv'!G:I,$F$4&amp;B185,'InOut Inv'!I:I) - SUMIF('Daily Sales'!G:J,$F$4&amp;B185,'Daily Sales'!J:J)</f>
        <v>1</v>
      </c>
    </row>
    <row r="186" ht="15.75" customHeight="1">
      <c r="A186" s="50" t="s">
        <v>1162</v>
      </c>
      <c r="B186" s="50" t="s">
        <v>820</v>
      </c>
      <c r="C186" s="50" t="s">
        <v>841</v>
      </c>
      <c r="D186" s="50" t="str">
        <f>VLOOKUP(A186,Master!D:G,4,0)</f>
        <v>#N/A</v>
      </c>
      <c r="E186" s="55">
        <v>3.0</v>
      </c>
      <c r="F186" s="52">
        <f>E186+ SUMIF('InOut Inv'!F:H,$F$4&amp;A186,'InOut Inv'!H:H) - SUMIF('Daily Sales'!F:I,$F$4&amp;A186,'Daily Sales'!I:I)</f>
        <v>3</v>
      </c>
      <c r="G186" s="52">
        <f>F186+ SUMIF('InOut Inv'!G:I,$F$4&amp;B186,'InOut Inv'!I:I) - SUMIF('Daily Sales'!G:J,$F$4&amp;B186,'Daily Sales'!J:J)</f>
        <v>3</v>
      </c>
    </row>
    <row r="187" ht="15.75" customHeight="1">
      <c r="A187" s="50" t="s">
        <v>1163</v>
      </c>
      <c r="B187" s="50" t="s">
        <v>820</v>
      </c>
      <c r="C187" s="50" t="s">
        <v>841</v>
      </c>
      <c r="D187" s="50" t="str">
        <f>VLOOKUP(A187,Master!D:G,4,0)</f>
        <v>#N/A</v>
      </c>
      <c r="E187" s="53">
        <v>1.0</v>
      </c>
      <c r="F187" s="52">
        <f>E187+ SUMIF('InOut Inv'!F:H,$F$4&amp;A187,'InOut Inv'!H:H) - SUMIF('Daily Sales'!F:I,$F$4&amp;A187,'Daily Sales'!I:I)</f>
        <v>1</v>
      </c>
      <c r="G187" s="52">
        <f>F187+ SUMIF('InOut Inv'!G:I,$F$4&amp;B187,'InOut Inv'!I:I) - SUMIF('Daily Sales'!G:J,$F$4&amp;B187,'Daily Sales'!J:J)</f>
        <v>1</v>
      </c>
    </row>
    <row r="188" ht="15.75" customHeight="1">
      <c r="A188" s="50" t="s">
        <v>1164</v>
      </c>
      <c r="B188" s="50" t="s">
        <v>820</v>
      </c>
      <c r="C188" s="50" t="s">
        <v>841</v>
      </c>
      <c r="D188" s="50" t="str">
        <f>VLOOKUP(A188,Master!D:G,4,0)</f>
        <v>#N/A</v>
      </c>
      <c r="E188" s="51">
        <v>3.0</v>
      </c>
      <c r="F188" s="52">
        <f>E188+ SUMIF('InOut Inv'!F:H,$F$4&amp;A188,'InOut Inv'!H:H) - SUMIF('Daily Sales'!F:I,$F$4&amp;A188,'Daily Sales'!I:I)</f>
        <v>3</v>
      </c>
      <c r="G188" s="52">
        <f>F188+ SUMIF('InOut Inv'!G:I,$F$4&amp;B188,'InOut Inv'!I:I) - SUMIF('Daily Sales'!G:J,$F$4&amp;B188,'Daily Sales'!J:J)</f>
        <v>3</v>
      </c>
    </row>
    <row r="189" ht="15.75" customHeight="1">
      <c r="A189" s="50" t="s">
        <v>1165</v>
      </c>
      <c r="B189" s="50" t="s">
        <v>820</v>
      </c>
      <c r="C189" s="50" t="s">
        <v>841</v>
      </c>
      <c r="D189" s="50" t="str">
        <f>VLOOKUP(A189,Master!D:G,4,0)</f>
        <v>#N/A</v>
      </c>
      <c r="E189" s="54">
        <v>8.0</v>
      </c>
      <c r="F189" s="52">
        <f>E189+ SUMIF('InOut Inv'!F:H,$F$4&amp;A189,'InOut Inv'!H:H) - SUMIF('Daily Sales'!F:I,$F$4&amp;A189,'Daily Sales'!I:I)</f>
        <v>8</v>
      </c>
      <c r="G189" s="52">
        <f>F189+ SUMIF('InOut Inv'!G:I,$F$4&amp;B189,'InOut Inv'!I:I) - SUMIF('Daily Sales'!G:J,$F$4&amp;B189,'Daily Sales'!J:J)</f>
        <v>8</v>
      </c>
    </row>
    <row r="190" ht="15.75" customHeight="1">
      <c r="A190" s="50" t="s">
        <v>1166</v>
      </c>
      <c r="B190" s="50" t="s">
        <v>820</v>
      </c>
      <c r="C190" s="50" t="s">
        <v>841</v>
      </c>
      <c r="D190" s="50" t="str">
        <f>VLOOKUP(A190,Master!D:G,4,0)</f>
        <v>#N/A</v>
      </c>
      <c r="E190" s="55">
        <v>18.0</v>
      </c>
      <c r="F190" s="52">
        <f>E190+ SUMIF('InOut Inv'!F:H,$F$4&amp;A190,'InOut Inv'!H:H) - SUMIF('Daily Sales'!F:I,$F$4&amp;A190,'Daily Sales'!I:I)</f>
        <v>18</v>
      </c>
      <c r="G190" s="52">
        <f>F190+ SUMIF('InOut Inv'!G:I,$F$4&amp;B190,'InOut Inv'!I:I) - SUMIF('Daily Sales'!G:J,$F$4&amp;B190,'Daily Sales'!J:J)</f>
        <v>18</v>
      </c>
    </row>
    <row r="191" ht="15.75" customHeight="1">
      <c r="A191" s="50" t="s">
        <v>1167</v>
      </c>
      <c r="B191" s="50" t="s">
        <v>820</v>
      </c>
      <c r="C191" s="50" t="s">
        <v>841</v>
      </c>
      <c r="D191" s="50" t="str">
        <f>VLOOKUP(A191,Master!D:G,4,0)</f>
        <v>#N/A</v>
      </c>
      <c r="E191" s="54">
        <v>3.0</v>
      </c>
      <c r="F191" s="52">
        <f>E191+ SUMIF('InOut Inv'!F:H,$F$4&amp;A191,'InOut Inv'!H:H) - SUMIF('Daily Sales'!F:I,$F$4&amp;A191,'Daily Sales'!I:I)</f>
        <v>3</v>
      </c>
      <c r="G191" s="52">
        <f>F191+ SUMIF('InOut Inv'!G:I,$F$4&amp;B191,'InOut Inv'!I:I) - SUMIF('Daily Sales'!G:J,$F$4&amp;B191,'Daily Sales'!J:J)</f>
        <v>3</v>
      </c>
    </row>
    <row r="192" ht="15.75" customHeight="1">
      <c r="A192" s="50" t="s">
        <v>1168</v>
      </c>
      <c r="B192" s="50" t="s">
        <v>820</v>
      </c>
      <c r="C192" s="50" t="s">
        <v>841</v>
      </c>
      <c r="D192" s="50" t="str">
        <f>VLOOKUP(A192,Master!D:G,4,0)</f>
        <v>#N/A</v>
      </c>
      <c r="E192" s="55">
        <v>2.0</v>
      </c>
      <c r="F192" s="52">
        <f>E192+ SUMIF('InOut Inv'!F:H,$F$4&amp;A192,'InOut Inv'!H:H) - SUMIF('Daily Sales'!F:I,$F$4&amp;A192,'Daily Sales'!I:I)</f>
        <v>2</v>
      </c>
      <c r="G192" s="52">
        <f>F192+ SUMIF('InOut Inv'!G:I,$F$4&amp;B192,'InOut Inv'!I:I) - SUMIF('Daily Sales'!G:J,$F$4&amp;B192,'Daily Sales'!J:J)</f>
        <v>2</v>
      </c>
    </row>
    <row r="193" ht="15.75" customHeight="1">
      <c r="A193" s="50" t="s">
        <v>1169</v>
      </c>
      <c r="B193" s="50" t="s">
        <v>820</v>
      </c>
      <c r="C193" s="50" t="s">
        <v>841</v>
      </c>
      <c r="D193" s="50" t="str">
        <f>VLOOKUP(A193,Master!D:G,4,0)</f>
        <v>#N/A</v>
      </c>
      <c r="E193" s="54">
        <v>0.0</v>
      </c>
      <c r="F193" s="52">
        <f>E193+ SUMIF('InOut Inv'!F:H,$F$4&amp;A193,'InOut Inv'!H:H) - SUMIF('Daily Sales'!F:I,$F$4&amp;A193,'Daily Sales'!I:I)</f>
        <v>0</v>
      </c>
      <c r="G193" s="52">
        <f>F193+ SUMIF('InOut Inv'!G:I,$F$4&amp;B193,'InOut Inv'!I:I) - SUMIF('Daily Sales'!G:J,$F$4&amp;B193,'Daily Sales'!J:J)</f>
        <v>0</v>
      </c>
    </row>
    <row r="194" ht="15.75" customHeight="1">
      <c r="A194" s="50" t="s">
        <v>1170</v>
      </c>
      <c r="B194" s="50" t="s">
        <v>820</v>
      </c>
      <c r="C194" s="50" t="s">
        <v>841</v>
      </c>
      <c r="D194" s="50" t="str">
        <f>VLOOKUP(A194,Master!D:G,4,0)</f>
        <v>#N/A</v>
      </c>
      <c r="E194" s="55">
        <v>0.0</v>
      </c>
      <c r="F194" s="52">
        <f>E194+ SUMIF('InOut Inv'!F:H,$F$4&amp;A194,'InOut Inv'!H:H) - SUMIF('Daily Sales'!F:I,$F$4&amp;A194,'Daily Sales'!I:I)</f>
        <v>0</v>
      </c>
      <c r="G194" s="52">
        <f>F194+ SUMIF('InOut Inv'!G:I,$F$4&amp;B194,'InOut Inv'!I:I) - SUMIF('Daily Sales'!G:J,$F$4&amp;B194,'Daily Sales'!J:J)</f>
        <v>0</v>
      </c>
    </row>
    <row r="195" ht="15.75" customHeight="1">
      <c r="A195" s="50" t="s">
        <v>1171</v>
      </c>
      <c r="B195" s="50" t="s">
        <v>820</v>
      </c>
      <c r="C195" s="50" t="s">
        <v>841</v>
      </c>
      <c r="D195" s="50" t="str">
        <f>VLOOKUP(A195,Master!D:G,4,0)</f>
        <v>#N/A</v>
      </c>
      <c r="E195" s="55">
        <v>2.0</v>
      </c>
      <c r="F195" s="52">
        <f>E195+ SUMIF('InOut Inv'!F:H,$F$4&amp;A195,'InOut Inv'!H:H) - SUMIF('Daily Sales'!F:I,$F$4&amp;A195,'Daily Sales'!I:I)</f>
        <v>2</v>
      </c>
      <c r="G195" s="52">
        <f>F195+ SUMIF('InOut Inv'!G:I,$F$4&amp;B195,'InOut Inv'!I:I) - SUMIF('Daily Sales'!G:J,$F$4&amp;B195,'Daily Sales'!J:J)</f>
        <v>2</v>
      </c>
    </row>
    <row r="196" ht="15.75" customHeight="1">
      <c r="A196" s="50" t="s">
        <v>1172</v>
      </c>
      <c r="B196" s="50" t="s">
        <v>875</v>
      </c>
      <c r="C196" s="50" t="s">
        <v>875</v>
      </c>
      <c r="D196" s="50" t="str">
        <f>VLOOKUP(A196,Master!D:G,4,0)</f>
        <v>#N/A</v>
      </c>
      <c r="E196" s="55">
        <v>2.0</v>
      </c>
      <c r="F196" s="52">
        <f>E196+ SUMIF('InOut Inv'!F:H,$F$4&amp;A196,'InOut Inv'!H:H) - SUMIF('Daily Sales'!F:I,$F$4&amp;A196,'Daily Sales'!I:I)</f>
        <v>2</v>
      </c>
      <c r="G196" s="52">
        <f>F196+ SUMIF('InOut Inv'!G:I,$F$4&amp;B196,'InOut Inv'!I:I) - SUMIF('Daily Sales'!G:J,$F$4&amp;B196,'Daily Sales'!J:J)</f>
        <v>2</v>
      </c>
    </row>
    <row r="197" ht="15.75" customHeight="1">
      <c r="A197" s="50" t="s">
        <v>1173</v>
      </c>
      <c r="B197" s="50" t="s">
        <v>875</v>
      </c>
      <c r="C197" s="50" t="s">
        <v>875</v>
      </c>
      <c r="D197" s="50" t="str">
        <f>VLOOKUP(A197,Master!D:G,4,0)</f>
        <v>#N/A</v>
      </c>
      <c r="E197" s="54">
        <v>3.0</v>
      </c>
      <c r="F197" s="52">
        <f>E197+ SUMIF('InOut Inv'!F:H,$F$4&amp;A197,'InOut Inv'!H:H) - SUMIF('Daily Sales'!F:I,$F$4&amp;A197,'Daily Sales'!I:I)</f>
        <v>3</v>
      </c>
      <c r="G197" s="52">
        <f>F197+ SUMIF('InOut Inv'!G:I,$F$4&amp;B197,'InOut Inv'!I:I) - SUMIF('Daily Sales'!G:J,$F$4&amp;B197,'Daily Sales'!J:J)</f>
        <v>3</v>
      </c>
    </row>
    <row r="198" ht="15.75" customHeight="1">
      <c r="A198" s="50" t="s">
        <v>1174</v>
      </c>
      <c r="B198" s="50" t="s">
        <v>875</v>
      </c>
      <c r="C198" s="50" t="s">
        <v>875</v>
      </c>
      <c r="D198" s="50" t="str">
        <f>VLOOKUP(A198,Master!D:G,4,0)</f>
        <v>#N/A</v>
      </c>
      <c r="E198" s="55">
        <v>2.0</v>
      </c>
      <c r="F198" s="52">
        <f>E198+ SUMIF('InOut Inv'!F:H,$F$4&amp;A198,'InOut Inv'!H:H) - SUMIF('Daily Sales'!F:I,$F$4&amp;A198,'Daily Sales'!I:I)</f>
        <v>2</v>
      </c>
      <c r="G198" s="52">
        <f>F198+ SUMIF('InOut Inv'!G:I,$F$4&amp;B198,'InOut Inv'!I:I) - SUMIF('Daily Sales'!G:J,$F$4&amp;B198,'Daily Sales'!J:J)</f>
        <v>2</v>
      </c>
    </row>
    <row r="199" ht="15.75" customHeight="1">
      <c r="A199" s="50" t="s">
        <v>1175</v>
      </c>
      <c r="B199" s="50" t="s">
        <v>875</v>
      </c>
      <c r="C199" s="50" t="s">
        <v>875</v>
      </c>
      <c r="D199" s="50" t="str">
        <f>VLOOKUP(A199,Master!D:G,4,0)</f>
        <v>#N/A</v>
      </c>
      <c r="E199" s="53">
        <v>0.0</v>
      </c>
      <c r="F199" s="52">
        <f>E199+ SUMIF('InOut Inv'!F:H,$F$4&amp;A199,'InOut Inv'!H:H) - SUMIF('Daily Sales'!F:I,$F$4&amp;A199,'Daily Sales'!I:I)</f>
        <v>0</v>
      </c>
      <c r="G199" s="52">
        <f>F199+ SUMIF('InOut Inv'!G:I,$F$4&amp;B199,'InOut Inv'!I:I) - SUMIF('Daily Sales'!G:J,$F$4&amp;B199,'Daily Sales'!J:J)</f>
        <v>0</v>
      </c>
    </row>
    <row r="200" ht="15.75" customHeight="1">
      <c r="A200" s="50" t="s">
        <v>1176</v>
      </c>
      <c r="B200" s="50" t="s">
        <v>875</v>
      </c>
      <c r="C200" s="50" t="s">
        <v>875</v>
      </c>
      <c r="D200" s="50" t="str">
        <f>VLOOKUP(A200,Master!D:G,4,0)</f>
        <v>#N/A</v>
      </c>
      <c r="E200" s="51">
        <v>0.0</v>
      </c>
      <c r="F200" s="52">
        <f>E200+ SUMIF('InOut Inv'!F:H,$F$4&amp;A200,'InOut Inv'!H:H) - SUMIF('Daily Sales'!F:I,$F$4&amp;A200,'Daily Sales'!I:I)</f>
        <v>0</v>
      </c>
      <c r="G200" s="52">
        <f>F200+ SUMIF('InOut Inv'!G:I,$F$4&amp;B200,'InOut Inv'!I:I) - SUMIF('Daily Sales'!G:J,$F$4&amp;B200,'Daily Sales'!J:J)</f>
        <v>0</v>
      </c>
    </row>
    <row r="201" ht="15.75" customHeight="1">
      <c r="A201" s="50" t="s">
        <v>1177</v>
      </c>
      <c r="B201" s="50" t="s">
        <v>875</v>
      </c>
      <c r="C201" s="50" t="s">
        <v>875</v>
      </c>
      <c r="D201" s="50" t="str">
        <f>VLOOKUP(A201,Master!D:G,4,0)</f>
        <v>#N/A</v>
      </c>
      <c r="E201" s="54">
        <v>1.0</v>
      </c>
      <c r="F201" s="52">
        <f>E201+ SUMIF('InOut Inv'!F:H,$F$4&amp;A201,'InOut Inv'!H:H) - SUMIF('Daily Sales'!F:I,$F$4&amp;A201,'Daily Sales'!I:I)</f>
        <v>1</v>
      </c>
      <c r="G201" s="52">
        <f>F201+ SUMIF('InOut Inv'!G:I,$F$4&amp;B201,'InOut Inv'!I:I) - SUMIF('Daily Sales'!G:J,$F$4&amp;B201,'Daily Sales'!J:J)</f>
        <v>1</v>
      </c>
    </row>
    <row r="202" ht="15.75" customHeight="1">
      <c r="A202" s="50" t="s">
        <v>1178</v>
      </c>
      <c r="B202" s="50" t="s">
        <v>875</v>
      </c>
      <c r="C202" s="50" t="s">
        <v>875</v>
      </c>
      <c r="D202" s="50" t="str">
        <f>VLOOKUP(A202,Master!D:G,4,0)</f>
        <v>#N/A</v>
      </c>
      <c r="E202" s="51">
        <v>0.0</v>
      </c>
      <c r="F202" s="52">
        <f>E202+ SUMIF('InOut Inv'!F:H,$F$4&amp;A202,'InOut Inv'!H:H) - SUMIF('Daily Sales'!F:I,$F$4&amp;A202,'Daily Sales'!I:I)</f>
        <v>0</v>
      </c>
      <c r="G202" s="52">
        <f>F202+ SUMIF('InOut Inv'!G:I,$F$4&amp;B202,'InOut Inv'!I:I) - SUMIF('Daily Sales'!G:J,$F$4&amp;B202,'Daily Sales'!J:J)</f>
        <v>0</v>
      </c>
    </row>
    <row r="203" ht="15.75" customHeight="1">
      <c r="A203" s="50" t="s">
        <v>1179</v>
      </c>
      <c r="B203" s="50" t="s">
        <v>875</v>
      </c>
      <c r="C203" s="50" t="s">
        <v>875</v>
      </c>
      <c r="D203" s="50" t="str">
        <f>VLOOKUP(A203,Master!D:G,4,0)</f>
        <v>#N/A</v>
      </c>
      <c r="E203" s="54">
        <v>2.0</v>
      </c>
      <c r="F203" s="52">
        <f>E203+ SUMIF('InOut Inv'!F:H,$F$4&amp;A203,'InOut Inv'!H:H) - SUMIF('Daily Sales'!F:I,$F$4&amp;A203,'Daily Sales'!I:I)</f>
        <v>2</v>
      </c>
      <c r="G203" s="52">
        <f>F203+ SUMIF('InOut Inv'!G:I,$F$4&amp;B203,'InOut Inv'!I:I) - SUMIF('Daily Sales'!G:J,$F$4&amp;B203,'Daily Sales'!J:J)</f>
        <v>2</v>
      </c>
    </row>
    <row r="204" ht="15.75" customHeight="1">
      <c r="A204" s="50" t="s">
        <v>1180</v>
      </c>
      <c r="B204" s="50" t="s">
        <v>875</v>
      </c>
      <c r="C204" s="50" t="s">
        <v>875</v>
      </c>
      <c r="D204" s="50" t="str">
        <f>VLOOKUP(A204,Master!D:G,4,0)</f>
        <v>#N/A</v>
      </c>
      <c r="E204" s="55">
        <v>4.0</v>
      </c>
      <c r="F204" s="52">
        <f>E204+ SUMIF('InOut Inv'!F:H,$F$4&amp;A204,'InOut Inv'!H:H) - SUMIF('Daily Sales'!F:I,$F$4&amp;A204,'Daily Sales'!I:I)</f>
        <v>4</v>
      </c>
      <c r="G204" s="52">
        <f>F204+ SUMIF('InOut Inv'!G:I,$F$4&amp;B204,'InOut Inv'!I:I) - SUMIF('Daily Sales'!G:J,$F$4&amp;B204,'Daily Sales'!J:J)</f>
        <v>4</v>
      </c>
    </row>
    <row r="205" ht="15.75" customHeight="1">
      <c r="A205" s="50" t="s">
        <v>1181</v>
      </c>
      <c r="B205" s="50" t="s">
        <v>875</v>
      </c>
      <c r="C205" s="50" t="s">
        <v>875</v>
      </c>
      <c r="D205" s="50" t="str">
        <f>VLOOKUP(A205,Master!D:G,4,0)</f>
        <v>#N/A</v>
      </c>
      <c r="E205" s="54">
        <v>5.0</v>
      </c>
      <c r="F205" s="52">
        <f>E205+ SUMIF('InOut Inv'!F:H,$F$4&amp;A205,'InOut Inv'!H:H) - SUMIF('Daily Sales'!F:I,$F$4&amp;A205,'Daily Sales'!I:I)</f>
        <v>5</v>
      </c>
      <c r="G205" s="52">
        <f>F205+ SUMIF('InOut Inv'!G:I,$F$4&amp;B205,'InOut Inv'!I:I) - SUMIF('Daily Sales'!G:J,$F$4&amp;B205,'Daily Sales'!J:J)</f>
        <v>5</v>
      </c>
    </row>
    <row r="206" ht="15.75" customHeight="1">
      <c r="A206" s="50" t="s">
        <v>1182</v>
      </c>
      <c r="B206" s="50" t="s">
        <v>875</v>
      </c>
      <c r="C206" s="50" t="s">
        <v>875</v>
      </c>
      <c r="D206" s="50" t="str">
        <f>VLOOKUP(A206,Master!D:G,4,0)</f>
        <v>#N/A</v>
      </c>
      <c r="E206" s="55">
        <v>5.0</v>
      </c>
      <c r="F206" s="52">
        <f>E206+ SUMIF('InOut Inv'!F:H,$F$4&amp;A206,'InOut Inv'!H:H) - SUMIF('Daily Sales'!F:I,$F$4&amp;A206,'Daily Sales'!I:I)</f>
        <v>5</v>
      </c>
      <c r="G206" s="52">
        <f>F206+ SUMIF('InOut Inv'!G:I,$F$4&amp;B206,'InOut Inv'!I:I) - SUMIF('Daily Sales'!G:J,$F$4&amp;B206,'Daily Sales'!J:J)</f>
        <v>5</v>
      </c>
    </row>
    <row r="207" ht="15.75" customHeight="1">
      <c r="A207" s="50" t="s">
        <v>1183</v>
      </c>
      <c r="B207" s="50" t="s">
        <v>875</v>
      </c>
      <c r="C207" s="50" t="s">
        <v>875</v>
      </c>
      <c r="D207" s="50" t="str">
        <f>VLOOKUP(A207,Master!D:G,4,0)</f>
        <v>#N/A</v>
      </c>
      <c r="E207" s="54">
        <v>3.0</v>
      </c>
      <c r="F207" s="52">
        <f>E207+ SUMIF('InOut Inv'!F:H,$F$4&amp;A207,'InOut Inv'!H:H) - SUMIF('Daily Sales'!F:I,$F$4&amp;A207,'Daily Sales'!I:I)</f>
        <v>3</v>
      </c>
      <c r="G207" s="52">
        <f>F207+ SUMIF('InOut Inv'!G:I,$F$4&amp;B207,'InOut Inv'!I:I) - SUMIF('Daily Sales'!G:J,$F$4&amp;B207,'Daily Sales'!J:J)</f>
        <v>3</v>
      </c>
    </row>
    <row r="208" ht="15.75" customHeight="1">
      <c r="A208" s="50" t="s">
        <v>1184</v>
      </c>
      <c r="B208" s="50" t="s">
        <v>875</v>
      </c>
      <c r="C208" s="50" t="s">
        <v>875</v>
      </c>
      <c r="D208" s="50" t="str">
        <f>VLOOKUP(A208,Master!D:G,4,0)</f>
        <v>#N/A</v>
      </c>
      <c r="E208" s="55">
        <v>3.0</v>
      </c>
      <c r="F208" s="52">
        <f>E208+ SUMIF('InOut Inv'!F:H,$F$4&amp;A208,'InOut Inv'!H:H) - SUMIF('Daily Sales'!F:I,$F$4&amp;A208,'Daily Sales'!I:I)</f>
        <v>3</v>
      </c>
      <c r="G208" s="52">
        <f>F208+ SUMIF('InOut Inv'!G:I,$F$4&amp;B208,'InOut Inv'!I:I) - SUMIF('Daily Sales'!G:J,$F$4&amp;B208,'Daily Sales'!J:J)</f>
        <v>3</v>
      </c>
    </row>
    <row r="209" ht="15.75" customHeight="1">
      <c r="A209" s="50" t="s">
        <v>1185</v>
      </c>
      <c r="B209" s="50" t="s">
        <v>875</v>
      </c>
      <c r="C209" s="50" t="s">
        <v>875</v>
      </c>
      <c r="D209" s="50" t="str">
        <f>VLOOKUP(A209,Master!D:G,4,0)</f>
        <v>#N/A</v>
      </c>
      <c r="E209" s="54">
        <v>4.0</v>
      </c>
      <c r="F209" s="52">
        <f>E209+ SUMIF('InOut Inv'!F:H,$F$4&amp;A209,'InOut Inv'!H:H) - SUMIF('Daily Sales'!F:I,$F$4&amp;A209,'Daily Sales'!I:I)</f>
        <v>4</v>
      </c>
      <c r="G209" s="52">
        <f>F209+ SUMIF('InOut Inv'!G:I,$F$4&amp;B209,'InOut Inv'!I:I) - SUMIF('Daily Sales'!G:J,$F$4&amp;B209,'Daily Sales'!J:J)</f>
        <v>4</v>
      </c>
    </row>
    <row r="210" ht="15.75" customHeight="1">
      <c r="A210" s="50" t="s">
        <v>1186</v>
      </c>
      <c r="B210" s="50" t="s">
        <v>875</v>
      </c>
      <c r="C210" s="50" t="s">
        <v>875</v>
      </c>
      <c r="D210" s="50" t="str">
        <f>VLOOKUP(A210,Master!D:G,4,0)</f>
        <v>#N/A</v>
      </c>
      <c r="E210" s="55">
        <v>1.0</v>
      </c>
      <c r="F210" s="52">
        <f>E210+ SUMIF('InOut Inv'!F:H,$F$4&amp;A210,'InOut Inv'!H:H) - SUMIF('Daily Sales'!F:I,$F$4&amp;A210,'Daily Sales'!I:I)</f>
        <v>1</v>
      </c>
      <c r="G210" s="52">
        <f>F210+ SUMIF('InOut Inv'!G:I,$F$4&amp;B210,'InOut Inv'!I:I) - SUMIF('Daily Sales'!G:J,$F$4&amp;B210,'Daily Sales'!J:J)</f>
        <v>1</v>
      </c>
    </row>
    <row r="211" ht="15.75" customHeight="1">
      <c r="A211" s="50" t="s">
        <v>1187</v>
      </c>
      <c r="B211" s="50" t="s">
        <v>875</v>
      </c>
      <c r="C211" s="50" t="s">
        <v>875</v>
      </c>
      <c r="D211" s="50" t="str">
        <f>VLOOKUP(A211,Master!D:G,4,0)</f>
        <v>#N/A</v>
      </c>
      <c r="E211" s="54">
        <v>4.0</v>
      </c>
      <c r="F211" s="52">
        <f>E211+ SUMIF('InOut Inv'!F:H,$F$4&amp;A211,'InOut Inv'!H:H) - SUMIF('Daily Sales'!F:I,$F$4&amp;A211,'Daily Sales'!I:I)</f>
        <v>4</v>
      </c>
      <c r="G211" s="52">
        <f>F211+ SUMIF('InOut Inv'!G:I,$F$4&amp;B211,'InOut Inv'!I:I) - SUMIF('Daily Sales'!G:J,$F$4&amp;B211,'Daily Sales'!J:J)</f>
        <v>4</v>
      </c>
    </row>
    <row r="212" ht="15.75" customHeight="1">
      <c r="A212" s="50" t="s">
        <v>1188</v>
      </c>
      <c r="B212" s="50" t="s">
        <v>875</v>
      </c>
      <c r="C212" s="50" t="s">
        <v>875</v>
      </c>
      <c r="D212" s="50" t="str">
        <f>VLOOKUP(A212,Master!D:G,4,0)</f>
        <v>#N/A</v>
      </c>
      <c r="E212" s="51">
        <v>0.0</v>
      </c>
      <c r="F212" s="52">
        <f>E212+ SUMIF('InOut Inv'!F:H,$F$4&amp;A212,'InOut Inv'!H:H) - SUMIF('Daily Sales'!F:I,$F$4&amp;A212,'Daily Sales'!I:I)</f>
        <v>0</v>
      </c>
      <c r="G212" s="52">
        <f>F212+ SUMIF('InOut Inv'!G:I,$F$4&amp;B212,'InOut Inv'!I:I) - SUMIF('Daily Sales'!G:J,$F$4&amp;B212,'Daily Sales'!J:J)</f>
        <v>0</v>
      </c>
    </row>
    <row r="213" ht="15.75" customHeight="1">
      <c r="A213" s="50" t="s">
        <v>1189</v>
      </c>
      <c r="B213" s="50" t="s">
        <v>875</v>
      </c>
      <c r="C213" s="50" t="s">
        <v>875</v>
      </c>
      <c r="D213" s="50" t="str">
        <f>VLOOKUP(A213,Master!D:G,4,0)</f>
        <v>#N/A</v>
      </c>
      <c r="E213" s="53">
        <v>1.0</v>
      </c>
      <c r="F213" s="52">
        <f>E213+ SUMIF('InOut Inv'!F:H,$F$4&amp;A213,'InOut Inv'!H:H) - SUMIF('Daily Sales'!F:I,$F$4&amp;A213,'Daily Sales'!I:I)</f>
        <v>1</v>
      </c>
      <c r="G213" s="52">
        <f>F213+ SUMIF('InOut Inv'!G:I,$F$4&amp;B213,'InOut Inv'!I:I) - SUMIF('Daily Sales'!G:J,$F$4&amp;B213,'Daily Sales'!J:J)</f>
        <v>1</v>
      </c>
    </row>
    <row r="214" ht="15.75" customHeight="1">
      <c r="A214" s="50" t="s">
        <v>1190</v>
      </c>
      <c r="B214" s="50" t="s">
        <v>875</v>
      </c>
      <c r="C214" s="50" t="s">
        <v>875</v>
      </c>
      <c r="D214" s="50" t="str">
        <f>VLOOKUP(A214,Master!D:G,4,0)</f>
        <v>#N/A</v>
      </c>
      <c r="E214" s="51">
        <v>2.0</v>
      </c>
      <c r="F214" s="52">
        <f>E214+ SUMIF('InOut Inv'!F:H,$F$4&amp;A214,'InOut Inv'!H:H) - SUMIF('Daily Sales'!F:I,$F$4&amp;A214,'Daily Sales'!I:I)</f>
        <v>2</v>
      </c>
      <c r="G214" s="52">
        <f>F214+ SUMIF('InOut Inv'!G:I,$F$4&amp;B214,'InOut Inv'!I:I) - SUMIF('Daily Sales'!G:J,$F$4&amp;B214,'Daily Sales'!J:J)</f>
        <v>2</v>
      </c>
    </row>
    <row r="215" ht="15.75" customHeight="1">
      <c r="A215" s="50" t="s">
        <v>1191</v>
      </c>
      <c r="B215" s="50" t="s">
        <v>875</v>
      </c>
      <c r="C215" s="50" t="s">
        <v>875</v>
      </c>
      <c r="D215" s="50" t="str">
        <f>VLOOKUP(A215,Master!D:G,4,0)</f>
        <v>#N/A</v>
      </c>
      <c r="E215" s="56">
        <v>2.0</v>
      </c>
      <c r="F215" s="52">
        <f>E215+ SUMIF('InOut Inv'!F:H,$F$4&amp;A215,'InOut Inv'!H:H) - SUMIF('Daily Sales'!F:I,$F$4&amp;A215,'Daily Sales'!I:I)</f>
        <v>2</v>
      </c>
      <c r="G215" s="52">
        <f>F215+ SUMIF('InOut Inv'!G:I,$F$4&amp;B215,'InOut Inv'!I:I) - SUMIF('Daily Sales'!G:J,$F$4&amp;B215,'Daily Sales'!J:J)</f>
        <v>2</v>
      </c>
    </row>
    <row r="216" ht="15.75" customHeight="1">
      <c r="A216" s="50" t="s">
        <v>1192</v>
      </c>
      <c r="B216" s="50" t="s">
        <v>875</v>
      </c>
      <c r="C216" s="50" t="s">
        <v>875</v>
      </c>
      <c r="D216" s="50" t="str">
        <f>VLOOKUP(A216,Master!D:G,4,0)</f>
        <v>#N/A</v>
      </c>
      <c r="E216" s="55">
        <v>2.0</v>
      </c>
      <c r="F216" s="52">
        <f>E216+ SUMIF('InOut Inv'!F:H,$F$4&amp;A216,'InOut Inv'!H:H) - SUMIF('Daily Sales'!F:I,$F$4&amp;A216,'Daily Sales'!I:I)</f>
        <v>2</v>
      </c>
      <c r="G216" s="52">
        <f>F216+ SUMIF('InOut Inv'!G:I,$F$4&amp;B216,'InOut Inv'!I:I) - SUMIF('Daily Sales'!G:J,$F$4&amp;B216,'Daily Sales'!J:J)</f>
        <v>2</v>
      </c>
    </row>
    <row r="217" ht="15.75" customHeight="1">
      <c r="A217" s="50" t="s">
        <v>1193</v>
      </c>
      <c r="B217" s="50" t="s">
        <v>875</v>
      </c>
      <c r="C217" s="50" t="s">
        <v>875</v>
      </c>
      <c r="D217" s="50" t="str">
        <f>VLOOKUP(A217,Master!D:G,4,0)</f>
        <v>#N/A</v>
      </c>
      <c r="E217" s="54">
        <v>2.0</v>
      </c>
      <c r="F217" s="52">
        <f>E217+ SUMIF('InOut Inv'!F:H,$F$4&amp;A217,'InOut Inv'!H:H) - SUMIF('Daily Sales'!F:I,$F$4&amp;A217,'Daily Sales'!I:I)</f>
        <v>2</v>
      </c>
      <c r="G217" s="52">
        <f>F217+ SUMIF('InOut Inv'!G:I,$F$4&amp;B217,'InOut Inv'!I:I) - SUMIF('Daily Sales'!G:J,$F$4&amp;B217,'Daily Sales'!J:J)</f>
        <v>2</v>
      </c>
    </row>
    <row r="218" ht="15.75" customHeight="1">
      <c r="A218" s="50" t="s">
        <v>1194</v>
      </c>
      <c r="B218" s="50" t="s">
        <v>875</v>
      </c>
      <c r="C218" s="50" t="s">
        <v>875</v>
      </c>
      <c r="D218" s="50" t="str">
        <f>VLOOKUP(A218,Master!D:G,4,0)</f>
        <v>#N/A</v>
      </c>
      <c r="E218" s="55">
        <v>2.0</v>
      </c>
      <c r="F218" s="52">
        <f>E218+ SUMIF('InOut Inv'!F:H,$F$4&amp;A218,'InOut Inv'!H:H) - SUMIF('Daily Sales'!F:I,$F$4&amp;A218,'Daily Sales'!I:I)</f>
        <v>2</v>
      </c>
      <c r="G218" s="52">
        <f>F218+ SUMIF('InOut Inv'!G:I,$F$4&amp;B218,'InOut Inv'!I:I) - SUMIF('Daily Sales'!G:J,$F$4&amp;B218,'Daily Sales'!J:J)</f>
        <v>2</v>
      </c>
    </row>
    <row r="219" ht="15.75" customHeight="1">
      <c r="A219" s="50" t="s">
        <v>1195</v>
      </c>
      <c r="B219" s="50" t="s">
        <v>875</v>
      </c>
      <c r="C219" s="50" t="s">
        <v>875</v>
      </c>
      <c r="D219" s="50" t="str">
        <f>VLOOKUP(A219,Master!D:G,4,0)</f>
        <v>#N/A</v>
      </c>
      <c r="E219" s="53">
        <v>6.0</v>
      </c>
      <c r="F219" s="52">
        <f>E219+ SUMIF('InOut Inv'!F:H,$F$4&amp;A219,'InOut Inv'!H:H) - SUMIF('Daily Sales'!F:I,$F$4&amp;A219,'Daily Sales'!I:I)</f>
        <v>6</v>
      </c>
      <c r="G219" s="52">
        <f>F219+ SUMIF('InOut Inv'!G:I,$F$4&amp;B219,'InOut Inv'!I:I) - SUMIF('Daily Sales'!G:J,$F$4&amp;B219,'Daily Sales'!J:J)</f>
        <v>6</v>
      </c>
    </row>
    <row r="220" ht="15.75" customHeight="1">
      <c r="A220" s="50" t="s">
        <v>1196</v>
      </c>
      <c r="B220" s="50" t="s">
        <v>875</v>
      </c>
      <c r="C220" s="50" t="s">
        <v>875</v>
      </c>
      <c r="D220" s="50" t="str">
        <f>VLOOKUP(A220,Master!D:G,4,0)</f>
        <v>#N/A</v>
      </c>
      <c r="E220" s="51">
        <v>0.0</v>
      </c>
      <c r="F220" s="52">
        <f>E220+ SUMIF('InOut Inv'!F:H,$F$4&amp;A220,'InOut Inv'!H:H) - SUMIF('Daily Sales'!F:I,$F$4&amp;A220,'Daily Sales'!I:I)</f>
        <v>0</v>
      </c>
      <c r="G220" s="52">
        <f>F220+ SUMIF('InOut Inv'!G:I,$F$4&amp;B220,'InOut Inv'!I:I) - SUMIF('Daily Sales'!G:J,$F$4&amp;B220,'Daily Sales'!J:J)</f>
        <v>0</v>
      </c>
    </row>
    <row r="221" ht="15.75" customHeight="1">
      <c r="A221" s="50" t="s">
        <v>1197</v>
      </c>
      <c r="B221" s="50" t="s">
        <v>875</v>
      </c>
      <c r="C221" s="50" t="s">
        <v>875</v>
      </c>
      <c r="D221" s="50" t="str">
        <f>VLOOKUP(A221,Master!D:G,4,0)</f>
        <v>#N/A</v>
      </c>
      <c r="E221" s="53">
        <v>0.0</v>
      </c>
      <c r="F221" s="52">
        <f>E221+ SUMIF('InOut Inv'!F:H,$F$4&amp;A221,'InOut Inv'!H:H) - SUMIF('Daily Sales'!F:I,$F$4&amp;A221,'Daily Sales'!I:I)</f>
        <v>0</v>
      </c>
      <c r="G221" s="52">
        <f>F221+ SUMIF('InOut Inv'!G:I,$F$4&amp;B221,'InOut Inv'!I:I) - SUMIF('Daily Sales'!G:J,$F$4&amp;B221,'Daily Sales'!J:J)</f>
        <v>0</v>
      </c>
    </row>
    <row r="222" ht="15.75" customHeight="1">
      <c r="A222" s="50" t="s">
        <v>1198</v>
      </c>
      <c r="B222" s="50" t="s">
        <v>875</v>
      </c>
      <c r="C222" s="50" t="s">
        <v>875</v>
      </c>
      <c r="D222" s="50" t="str">
        <f>VLOOKUP(A222,Master!D:G,4,0)</f>
        <v>#N/A</v>
      </c>
      <c r="E222" s="51">
        <v>2.0</v>
      </c>
      <c r="F222" s="52">
        <f>E222+ SUMIF('InOut Inv'!F:H,$F$4&amp;A222,'InOut Inv'!H:H) - SUMIF('Daily Sales'!F:I,$F$4&amp;A222,'Daily Sales'!I:I)</f>
        <v>2</v>
      </c>
      <c r="G222" s="52">
        <f>F222+ SUMIF('InOut Inv'!G:I,$F$4&amp;B222,'InOut Inv'!I:I) - SUMIF('Daily Sales'!G:J,$F$4&amp;B222,'Daily Sales'!J:J)</f>
        <v>2</v>
      </c>
    </row>
    <row r="223" ht="15.75" customHeight="1">
      <c r="A223" s="50" t="s">
        <v>1199</v>
      </c>
      <c r="B223" s="50" t="s">
        <v>875</v>
      </c>
      <c r="C223" s="50" t="s">
        <v>875</v>
      </c>
      <c r="D223" s="50" t="str">
        <f>VLOOKUP(A223,Master!D:G,4,0)</f>
        <v>#N/A</v>
      </c>
      <c r="E223" s="53">
        <v>0.0</v>
      </c>
      <c r="F223" s="52">
        <f>E223+ SUMIF('InOut Inv'!F:H,$F$4&amp;A223,'InOut Inv'!H:H) - SUMIF('Daily Sales'!F:I,$F$4&amp;A223,'Daily Sales'!I:I)</f>
        <v>0</v>
      </c>
      <c r="G223" s="52">
        <f>F223+ SUMIF('InOut Inv'!G:I,$F$4&amp;B223,'InOut Inv'!I:I) - SUMIF('Daily Sales'!G:J,$F$4&amp;B223,'Daily Sales'!J:J)</f>
        <v>0</v>
      </c>
    </row>
    <row r="224" ht="15.75" customHeight="1">
      <c r="A224" s="50" t="s">
        <v>1200</v>
      </c>
      <c r="B224" s="50" t="s">
        <v>875</v>
      </c>
      <c r="C224" s="50" t="s">
        <v>875</v>
      </c>
      <c r="D224" s="50" t="str">
        <f>VLOOKUP(A224,Master!D:G,4,0)</f>
        <v>#N/A</v>
      </c>
      <c r="E224" s="51">
        <v>1.0</v>
      </c>
      <c r="F224" s="52">
        <f>E224+ SUMIF('InOut Inv'!F:H,$F$4&amp;A224,'InOut Inv'!H:H) - SUMIF('Daily Sales'!F:I,$F$4&amp;A224,'Daily Sales'!I:I)</f>
        <v>1</v>
      </c>
      <c r="G224" s="52">
        <f>F224+ SUMIF('InOut Inv'!G:I,$F$4&amp;B224,'InOut Inv'!I:I) - SUMIF('Daily Sales'!G:J,$F$4&amp;B224,'Daily Sales'!J:J)</f>
        <v>1</v>
      </c>
    </row>
    <row r="225" ht="15.75" customHeight="1">
      <c r="A225" s="50" t="s">
        <v>1201</v>
      </c>
      <c r="B225" s="50" t="s">
        <v>875</v>
      </c>
      <c r="C225" s="50" t="s">
        <v>875</v>
      </c>
      <c r="D225" s="50" t="str">
        <f>VLOOKUP(A225,Master!D:G,4,0)</f>
        <v>#N/A</v>
      </c>
      <c r="E225" s="56">
        <v>11.0</v>
      </c>
      <c r="F225" s="52">
        <f>E225+ SUMIF('InOut Inv'!F:H,$F$4&amp;A225,'InOut Inv'!H:H) - SUMIF('Daily Sales'!F:I,$F$4&amp;A225,'Daily Sales'!I:I)</f>
        <v>11</v>
      </c>
      <c r="G225" s="52">
        <f>F225+ SUMIF('InOut Inv'!G:I,$F$4&amp;B225,'InOut Inv'!I:I) - SUMIF('Daily Sales'!G:J,$F$4&amp;B225,'Daily Sales'!J:J)</f>
        <v>11</v>
      </c>
    </row>
    <row r="226" ht="15.75" customHeight="1">
      <c r="A226" s="50" t="s">
        <v>1202</v>
      </c>
      <c r="B226" s="50" t="s">
        <v>875</v>
      </c>
      <c r="C226" s="50" t="s">
        <v>875</v>
      </c>
      <c r="D226" s="50" t="str">
        <f>VLOOKUP(A226,Master!D:G,4,0)</f>
        <v>#N/A</v>
      </c>
      <c r="E226" s="51">
        <v>0.0</v>
      </c>
      <c r="F226" s="52">
        <f>E226+ SUMIF('InOut Inv'!F:H,$F$4&amp;A226,'InOut Inv'!H:H) - SUMIF('Daily Sales'!F:I,$F$4&amp;A226,'Daily Sales'!I:I)</f>
        <v>0</v>
      </c>
      <c r="G226" s="52">
        <f>F226+ SUMIF('InOut Inv'!G:I,$F$4&amp;B226,'InOut Inv'!I:I) - SUMIF('Daily Sales'!G:J,$F$4&amp;B226,'Daily Sales'!J:J)</f>
        <v>0</v>
      </c>
    </row>
    <row r="227" ht="15.75" customHeight="1">
      <c r="A227" s="50" t="s">
        <v>1203</v>
      </c>
      <c r="B227" s="50" t="s">
        <v>875</v>
      </c>
      <c r="C227" s="50" t="s">
        <v>875</v>
      </c>
      <c r="D227" s="50" t="str">
        <f>VLOOKUP(A227,Master!D:G,4,0)</f>
        <v>#N/A</v>
      </c>
      <c r="E227" s="54">
        <v>0.0</v>
      </c>
      <c r="F227" s="52">
        <f>E227+ SUMIF('InOut Inv'!F:H,$F$4&amp;A227,'InOut Inv'!H:H) - SUMIF('Daily Sales'!F:I,$F$4&amp;A227,'Daily Sales'!I:I)</f>
        <v>0</v>
      </c>
      <c r="G227" s="52">
        <f>F227+ SUMIF('InOut Inv'!G:I,$F$4&amp;B227,'InOut Inv'!I:I) - SUMIF('Daily Sales'!G:J,$F$4&amp;B227,'Daily Sales'!J:J)</f>
        <v>0</v>
      </c>
    </row>
    <row r="228" ht="15.75" customHeight="1">
      <c r="A228" s="50" t="s">
        <v>1204</v>
      </c>
      <c r="B228" s="50" t="s">
        <v>875</v>
      </c>
      <c r="C228" s="50" t="s">
        <v>875</v>
      </c>
      <c r="D228" s="50" t="str">
        <f>VLOOKUP(A228,Master!D:G,4,0)</f>
        <v>#N/A</v>
      </c>
      <c r="E228" s="51">
        <v>0.0</v>
      </c>
      <c r="F228" s="52">
        <f>E228+ SUMIF('InOut Inv'!F:H,$F$4&amp;A228,'InOut Inv'!H:H) - SUMIF('Daily Sales'!F:I,$F$4&amp;A228,'Daily Sales'!I:I)</f>
        <v>0</v>
      </c>
      <c r="G228" s="52">
        <f>F228+ SUMIF('InOut Inv'!G:I,$F$4&amp;B228,'InOut Inv'!I:I) - SUMIF('Daily Sales'!G:J,$F$4&amp;B228,'Daily Sales'!J:J)</f>
        <v>0</v>
      </c>
    </row>
    <row r="229" ht="15.75" customHeight="1">
      <c r="A229" s="50" t="s">
        <v>1205</v>
      </c>
      <c r="B229" s="50" t="s">
        <v>875</v>
      </c>
      <c r="C229" s="50" t="s">
        <v>875</v>
      </c>
      <c r="D229" s="50" t="str">
        <f>VLOOKUP(A229,Master!D:G,4,0)</f>
        <v>#N/A</v>
      </c>
      <c r="E229" s="53">
        <v>0.0</v>
      </c>
      <c r="F229" s="52">
        <f>E229+ SUMIF('InOut Inv'!F:H,$F$4&amp;A229,'InOut Inv'!H:H) - SUMIF('Daily Sales'!F:I,$F$4&amp;A229,'Daily Sales'!I:I)</f>
        <v>0</v>
      </c>
      <c r="G229" s="52">
        <f>F229+ SUMIF('InOut Inv'!G:I,$F$4&amp;B229,'InOut Inv'!I:I) - SUMIF('Daily Sales'!G:J,$F$4&amp;B229,'Daily Sales'!J:J)</f>
        <v>0</v>
      </c>
    </row>
    <row r="230" ht="15.75" customHeight="1">
      <c r="A230" s="50" t="s">
        <v>1206</v>
      </c>
      <c r="B230" s="50" t="s">
        <v>875</v>
      </c>
      <c r="C230" s="50" t="s">
        <v>875</v>
      </c>
      <c r="D230" s="50" t="str">
        <f>VLOOKUP(A230,Master!D:G,4,0)</f>
        <v>#N/A</v>
      </c>
      <c r="E230" s="51">
        <v>4.0</v>
      </c>
      <c r="F230" s="52">
        <f>E230+ SUMIF('InOut Inv'!F:H,$F$4&amp;A230,'InOut Inv'!H:H) - SUMIF('Daily Sales'!F:I,$F$4&amp;A230,'Daily Sales'!I:I)</f>
        <v>4</v>
      </c>
      <c r="G230" s="52">
        <f>F230+ SUMIF('InOut Inv'!G:I,$F$4&amp;B230,'InOut Inv'!I:I) - SUMIF('Daily Sales'!G:J,$F$4&amp;B230,'Daily Sales'!J:J)</f>
        <v>4</v>
      </c>
    </row>
    <row r="231" ht="15.75" customHeight="1">
      <c r="A231" s="50" t="s">
        <v>1207</v>
      </c>
      <c r="B231" s="50" t="s">
        <v>875</v>
      </c>
      <c r="C231" s="50" t="s">
        <v>875</v>
      </c>
      <c r="D231" s="50" t="str">
        <f>VLOOKUP(A231,Master!D:G,4,0)</f>
        <v>#N/A</v>
      </c>
      <c r="E231" s="52">
        <v>5.0</v>
      </c>
      <c r="F231" s="52">
        <f>E231+ SUMIF('InOut Inv'!F:H,$F$4&amp;A231,'InOut Inv'!H:H) - SUMIF('Daily Sales'!F:I,$F$4&amp;A231,'Daily Sales'!I:I)</f>
        <v>5</v>
      </c>
      <c r="G231" s="52">
        <f>F231+ SUMIF('InOut Inv'!G:I,$F$4&amp;B231,'InOut Inv'!I:I) - SUMIF('Daily Sales'!G:J,$F$4&amp;B231,'Daily Sales'!J:J)</f>
        <v>5</v>
      </c>
    </row>
    <row r="232" ht="15.75" customHeight="1">
      <c r="A232" s="50" t="s">
        <v>1208</v>
      </c>
      <c r="B232" s="50" t="s">
        <v>875</v>
      </c>
      <c r="C232" s="50" t="s">
        <v>875</v>
      </c>
      <c r="D232" s="50" t="str">
        <f>VLOOKUP(A232,Master!D:G,4,0)</f>
        <v>#N/A</v>
      </c>
      <c r="E232" s="55">
        <v>3.0</v>
      </c>
      <c r="F232" s="52">
        <f>E232+ SUMIF('InOut Inv'!F:H,$F$4&amp;A232,'InOut Inv'!H:H) - SUMIF('Daily Sales'!F:I,$F$4&amp;A232,'Daily Sales'!I:I)</f>
        <v>3</v>
      </c>
      <c r="G232" s="52">
        <f>F232+ SUMIF('InOut Inv'!G:I,$F$4&amp;B232,'InOut Inv'!I:I) - SUMIF('Daily Sales'!G:J,$F$4&amp;B232,'Daily Sales'!J:J)</f>
        <v>3</v>
      </c>
    </row>
    <row r="233" ht="15.75" customHeight="1">
      <c r="A233" s="50" t="s">
        <v>1209</v>
      </c>
      <c r="B233" s="50" t="s">
        <v>875</v>
      </c>
      <c r="C233" s="50" t="s">
        <v>875</v>
      </c>
      <c r="D233" s="50" t="str">
        <f>VLOOKUP(A233,Master!D:G,4,0)</f>
        <v>#N/A</v>
      </c>
      <c r="E233" s="53">
        <v>5.0</v>
      </c>
      <c r="F233" s="52">
        <f>E233+ SUMIF('InOut Inv'!F:H,$F$4&amp;A233,'InOut Inv'!H:H) - SUMIF('Daily Sales'!F:I,$F$4&amp;A233,'Daily Sales'!I:I)</f>
        <v>5</v>
      </c>
      <c r="G233" s="52">
        <f>F233+ SUMIF('InOut Inv'!G:I,$F$4&amp;B233,'InOut Inv'!I:I) - SUMIF('Daily Sales'!G:J,$F$4&amp;B233,'Daily Sales'!J:J)</f>
        <v>5</v>
      </c>
    </row>
    <row r="234" ht="15.75" customHeight="1">
      <c r="A234" s="50" t="s">
        <v>1210</v>
      </c>
      <c r="B234" s="50" t="s">
        <v>875</v>
      </c>
      <c r="C234" s="50" t="s">
        <v>875</v>
      </c>
      <c r="D234" s="50" t="str">
        <f>VLOOKUP(A234,Master!D:G,4,0)</f>
        <v>#N/A</v>
      </c>
      <c r="E234" s="55">
        <v>2.0</v>
      </c>
      <c r="F234" s="52">
        <f>E234+ SUMIF('InOut Inv'!F:H,$F$4&amp;A234,'InOut Inv'!H:H) - SUMIF('Daily Sales'!F:I,$F$4&amp;A234,'Daily Sales'!I:I)</f>
        <v>2</v>
      </c>
      <c r="G234" s="52">
        <f>F234+ SUMIF('InOut Inv'!G:I,$F$4&amp;B234,'InOut Inv'!I:I) - SUMIF('Daily Sales'!G:J,$F$4&amp;B234,'Daily Sales'!J:J)</f>
        <v>2</v>
      </c>
    </row>
    <row r="235" ht="15.75" customHeight="1">
      <c r="A235" s="50" t="s">
        <v>1211</v>
      </c>
      <c r="B235" s="50" t="s">
        <v>875</v>
      </c>
      <c r="C235" s="50" t="s">
        <v>875</v>
      </c>
      <c r="D235" s="50" t="str">
        <f>VLOOKUP(A235,Master!D:G,4,0)</f>
        <v>#N/A</v>
      </c>
      <c r="E235" s="53">
        <v>11.0</v>
      </c>
      <c r="F235" s="52">
        <f>E235+ SUMIF('InOut Inv'!F:H,$F$4&amp;A235,'InOut Inv'!H:H) - SUMIF('Daily Sales'!F:I,$F$4&amp;A235,'Daily Sales'!I:I)</f>
        <v>11</v>
      </c>
      <c r="G235" s="52">
        <f>F235+ SUMIF('InOut Inv'!G:I,$F$4&amp;B235,'InOut Inv'!I:I) - SUMIF('Daily Sales'!G:J,$F$4&amp;B235,'Daily Sales'!J:J)</f>
        <v>11</v>
      </c>
    </row>
    <row r="236" ht="15.75" customHeight="1">
      <c r="A236" s="50" t="s">
        <v>1212</v>
      </c>
      <c r="B236" s="50" t="s">
        <v>875</v>
      </c>
      <c r="C236" s="50" t="s">
        <v>875</v>
      </c>
      <c r="D236" s="50" t="str">
        <f>VLOOKUP(A236,Master!D:G,4,0)</f>
        <v>#N/A</v>
      </c>
      <c r="E236" s="55">
        <v>3.0</v>
      </c>
      <c r="F236" s="52">
        <f>E236+ SUMIF('InOut Inv'!F:H,$F$4&amp;A236,'InOut Inv'!H:H) - SUMIF('Daily Sales'!F:I,$F$4&amp;A236,'Daily Sales'!I:I)</f>
        <v>3</v>
      </c>
      <c r="G236" s="52">
        <f>F236+ SUMIF('InOut Inv'!G:I,$F$4&amp;B236,'InOut Inv'!I:I) - SUMIF('Daily Sales'!G:J,$F$4&amp;B236,'Daily Sales'!J:J)</f>
        <v>3</v>
      </c>
    </row>
    <row r="237" ht="15.75" customHeight="1">
      <c r="A237" s="50" t="s">
        <v>1213</v>
      </c>
      <c r="B237" s="50" t="s">
        <v>875</v>
      </c>
      <c r="C237" s="50" t="s">
        <v>875</v>
      </c>
      <c r="D237" s="50" t="str">
        <f>VLOOKUP(A237,Master!D:G,4,0)</f>
        <v>#N/A</v>
      </c>
      <c r="E237" s="54">
        <v>3.0</v>
      </c>
      <c r="F237" s="52">
        <f>E237+ SUMIF('InOut Inv'!F:H,$F$4&amp;A237,'InOut Inv'!H:H) - SUMIF('Daily Sales'!F:I,$F$4&amp;A237,'Daily Sales'!I:I)</f>
        <v>3</v>
      </c>
      <c r="G237" s="52">
        <f>F237+ SUMIF('InOut Inv'!G:I,$F$4&amp;B237,'InOut Inv'!I:I) - SUMIF('Daily Sales'!G:J,$F$4&amp;B237,'Daily Sales'!J:J)</f>
        <v>3</v>
      </c>
    </row>
    <row r="238" ht="15.75" customHeight="1">
      <c r="A238" s="50" t="s">
        <v>1214</v>
      </c>
      <c r="B238" s="50" t="s">
        <v>875</v>
      </c>
      <c r="C238" s="50" t="s">
        <v>875</v>
      </c>
      <c r="D238" s="50" t="str">
        <f>VLOOKUP(A238,Master!D:G,4,0)</f>
        <v>#N/A</v>
      </c>
      <c r="E238" s="55">
        <v>2.0</v>
      </c>
      <c r="F238" s="52">
        <f>E238+ SUMIF('InOut Inv'!F:H,$F$4&amp;A238,'InOut Inv'!H:H) - SUMIF('Daily Sales'!F:I,$F$4&amp;A238,'Daily Sales'!I:I)</f>
        <v>2</v>
      </c>
      <c r="G238" s="52">
        <f>F238+ SUMIF('InOut Inv'!G:I,$F$4&amp;B238,'InOut Inv'!I:I) - SUMIF('Daily Sales'!G:J,$F$4&amp;B238,'Daily Sales'!J:J)</f>
        <v>2</v>
      </c>
    </row>
    <row r="239" ht="15.75" customHeight="1">
      <c r="A239" s="50" t="s">
        <v>1215</v>
      </c>
      <c r="B239" s="50" t="s">
        <v>875</v>
      </c>
      <c r="C239" s="50" t="s">
        <v>875</v>
      </c>
      <c r="D239" s="50" t="str">
        <f>VLOOKUP(A239,Master!D:G,4,0)</f>
        <v>#N/A</v>
      </c>
      <c r="E239" s="54">
        <v>2.0</v>
      </c>
      <c r="F239" s="52">
        <f>E239+ SUMIF('InOut Inv'!F:H,$F$4&amp;A239,'InOut Inv'!H:H) - SUMIF('Daily Sales'!F:I,$F$4&amp;A239,'Daily Sales'!I:I)</f>
        <v>2</v>
      </c>
      <c r="G239" s="52">
        <f>F239+ SUMIF('InOut Inv'!G:I,$F$4&amp;B239,'InOut Inv'!I:I) - SUMIF('Daily Sales'!G:J,$F$4&amp;B239,'Daily Sales'!J:J)</f>
        <v>2</v>
      </c>
    </row>
    <row r="240" ht="15.75" customHeight="1">
      <c r="A240" s="50" t="s">
        <v>1216</v>
      </c>
      <c r="B240" s="50" t="s">
        <v>875</v>
      </c>
      <c r="C240" s="50" t="s">
        <v>875</v>
      </c>
      <c r="D240" s="50" t="str">
        <f>VLOOKUP(A240,Master!D:G,4,0)</f>
        <v>#N/A</v>
      </c>
      <c r="E240" s="55">
        <v>1.0</v>
      </c>
      <c r="F240" s="52">
        <f>E240+ SUMIF('InOut Inv'!F:H,$F$4&amp;A240,'InOut Inv'!H:H) - SUMIF('Daily Sales'!F:I,$F$4&amp;A240,'Daily Sales'!I:I)</f>
        <v>1</v>
      </c>
      <c r="G240" s="52">
        <f>F240+ SUMIF('InOut Inv'!G:I,$F$4&amp;B240,'InOut Inv'!I:I) - SUMIF('Daily Sales'!G:J,$F$4&amp;B240,'Daily Sales'!J:J)</f>
        <v>1</v>
      </c>
    </row>
    <row r="241" ht="15.75" customHeight="1">
      <c r="A241" s="50" t="s">
        <v>1217</v>
      </c>
      <c r="B241" s="50" t="s">
        <v>875</v>
      </c>
      <c r="C241" s="50" t="s">
        <v>875</v>
      </c>
      <c r="D241" s="50" t="str">
        <f>VLOOKUP(A241,Master!D:G,4,0)</f>
        <v>#N/A</v>
      </c>
      <c r="E241" s="53">
        <v>1.0</v>
      </c>
      <c r="F241" s="52">
        <f>E241+ SUMIF('InOut Inv'!F:H,$F$4&amp;A241,'InOut Inv'!H:H) - SUMIF('Daily Sales'!F:I,$F$4&amp;A241,'Daily Sales'!I:I)</f>
        <v>1</v>
      </c>
      <c r="G241" s="52">
        <f>F241+ SUMIF('InOut Inv'!G:I,$F$4&amp;B241,'InOut Inv'!I:I) - SUMIF('Daily Sales'!G:J,$F$4&amp;B241,'Daily Sales'!J:J)</f>
        <v>1</v>
      </c>
    </row>
    <row r="242" ht="15.75" customHeight="1">
      <c r="A242" s="50" t="s">
        <v>1218</v>
      </c>
      <c r="B242" s="50" t="s">
        <v>875</v>
      </c>
      <c r="C242" s="50" t="s">
        <v>875</v>
      </c>
      <c r="D242" s="50" t="str">
        <f>VLOOKUP(A242,Master!D:G,4,0)</f>
        <v>#N/A</v>
      </c>
      <c r="E242" s="51">
        <v>2.0</v>
      </c>
      <c r="F242" s="52">
        <f>E242+ SUMIF('InOut Inv'!F:H,$F$4&amp;A242,'InOut Inv'!H:H) - SUMIF('Daily Sales'!F:I,$F$4&amp;A242,'Daily Sales'!I:I)</f>
        <v>2</v>
      </c>
      <c r="G242" s="52">
        <f>F242+ SUMIF('InOut Inv'!G:I,$F$4&amp;B242,'InOut Inv'!I:I) - SUMIF('Daily Sales'!G:J,$F$4&amp;B242,'Daily Sales'!J:J)</f>
        <v>2</v>
      </c>
    </row>
    <row r="243" ht="15.75" customHeight="1">
      <c r="A243" s="50" t="s">
        <v>1219</v>
      </c>
      <c r="B243" s="50" t="s">
        <v>875</v>
      </c>
      <c r="C243" s="50" t="s">
        <v>875</v>
      </c>
      <c r="D243" s="50" t="str">
        <f>VLOOKUP(A243,Master!D:G,4,0)</f>
        <v>#N/A</v>
      </c>
      <c r="E243" s="54">
        <v>3.0</v>
      </c>
      <c r="F243" s="52">
        <f>E243+ SUMIF('InOut Inv'!F:H,$F$4&amp;A243,'InOut Inv'!H:H) - SUMIF('Daily Sales'!F:I,$F$4&amp;A243,'Daily Sales'!I:I)</f>
        <v>3</v>
      </c>
      <c r="G243" s="52">
        <f>F243+ SUMIF('InOut Inv'!G:I,$F$4&amp;B243,'InOut Inv'!I:I) - SUMIF('Daily Sales'!G:J,$F$4&amp;B243,'Daily Sales'!J:J)</f>
        <v>3</v>
      </c>
    </row>
    <row r="244" ht="15.75" customHeight="1">
      <c r="A244" s="50" t="s">
        <v>1220</v>
      </c>
      <c r="B244" s="50" t="s">
        <v>875</v>
      </c>
      <c r="C244" s="50" t="s">
        <v>875</v>
      </c>
      <c r="D244" s="50" t="str">
        <f>VLOOKUP(A244,Master!D:G,4,0)</f>
        <v>#N/A</v>
      </c>
      <c r="E244" s="51">
        <v>1.0</v>
      </c>
      <c r="F244" s="52">
        <f>E244+ SUMIF('InOut Inv'!F:H,$F$4&amp;A244,'InOut Inv'!H:H) - SUMIF('Daily Sales'!F:I,$F$4&amp;A244,'Daily Sales'!I:I)</f>
        <v>1</v>
      </c>
      <c r="G244" s="52">
        <f>F244+ SUMIF('InOut Inv'!G:I,$F$4&amp;B244,'InOut Inv'!I:I) - SUMIF('Daily Sales'!G:J,$F$4&amp;B244,'Daily Sales'!J:J)</f>
        <v>1</v>
      </c>
    </row>
    <row r="245" ht="15.75" customHeight="1">
      <c r="A245" s="50" t="s">
        <v>1221</v>
      </c>
      <c r="B245" s="50" t="s">
        <v>875</v>
      </c>
      <c r="C245" s="50" t="s">
        <v>875</v>
      </c>
      <c r="D245" s="50" t="str">
        <f>VLOOKUP(A245,Master!D:G,4,0)</f>
        <v>#N/A</v>
      </c>
      <c r="E245" s="51">
        <v>1.0</v>
      </c>
      <c r="F245" s="52">
        <f>E245+ SUMIF('InOut Inv'!F:H,$F$4&amp;A245,'InOut Inv'!H:H) - SUMIF('Daily Sales'!F:I,$F$4&amp;A245,'Daily Sales'!I:I)</f>
        <v>1</v>
      </c>
      <c r="G245" s="52">
        <f>F245+ SUMIF('InOut Inv'!G:I,$F$4&amp;B245,'InOut Inv'!I:I) - SUMIF('Daily Sales'!G:J,$F$4&amp;B245,'Daily Sales'!J:J)</f>
        <v>1</v>
      </c>
    </row>
    <row r="246" ht="15.75" customHeight="1">
      <c r="A246" s="50" t="s">
        <v>378</v>
      </c>
      <c r="B246" s="50" t="s">
        <v>379</v>
      </c>
      <c r="C246" s="50" t="s">
        <v>379</v>
      </c>
      <c r="D246" s="50" t="str">
        <f>VLOOKUP(A246,Master!D:G,4,0)</f>
        <v>ETHREL 100ML</v>
      </c>
      <c r="E246" s="51"/>
      <c r="F246" s="52">
        <f>E246+ SUMIF('InOut Inv'!F:H,$F$4&amp;A246,'InOut Inv'!H:H) - SUMIF('Daily Sales'!F:I,$F$4&amp;A246,'Daily Sales'!I:I)</f>
        <v>0</v>
      </c>
      <c r="G246" s="52">
        <f>F246+ SUMIF('InOut Inv'!G:I,$F$4&amp;B246,'InOut Inv'!I:I) - SUMIF('Daily Sales'!G:J,$F$4&amp;B246,'Daily Sales'!J:J)</f>
        <v>0</v>
      </c>
    </row>
    <row r="247" ht="15.75" customHeight="1">
      <c r="A247" s="50" t="s">
        <v>382</v>
      </c>
      <c r="B247" s="50" t="s">
        <v>379</v>
      </c>
      <c r="C247" s="50" t="s">
        <v>379</v>
      </c>
      <c r="D247" s="50" t="str">
        <f>VLOOKUP(A247,Master!D:G,4,0)</f>
        <v>KARANG</v>
      </c>
      <c r="E247" s="53"/>
      <c r="F247" s="52">
        <f>E247+ SUMIF('InOut Inv'!F:H,$F$4&amp;A247,'InOut Inv'!H:H) - SUMIF('Daily Sales'!F:I,$F$4&amp;A247,'Daily Sales'!I:I)</f>
        <v>0</v>
      </c>
      <c r="G247" s="52">
        <f>F247+ SUMIF('InOut Inv'!G:I,$F$4&amp;B247,'InOut Inv'!I:I) - SUMIF('Daily Sales'!G:J,$F$4&amp;B247,'Daily Sales'!J:J)</f>
        <v>0</v>
      </c>
    </row>
    <row r="248" ht="15.75" customHeight="1">
      <c r="A248" s="50"/>
      <c r="B248" s="50"/>
      <c r="C248" s="50"/>
      <c r="D248" s="50"/>
      <c r="E248" s="57">
        <f>SUM(E5:E247)</f>
        <v>76556</v>
      </c>
      <c r="F248" s="52"/>
      <c r="G248" s="52"/>
    </row>
    <row r="249" ht="15.75" customHeight="1">
      <c r="A249" s="46"/>
      <c r="B249" s="46"/>
      <c r="C249" s="46"/>
      <c r="D249" s="46"/>
      <c r="E249" s="47"/>
      <c r="F249" s="47"/>
      <c r="G249" s="47"/>
    </row>
    <row r="250" ht="15.75" customHeight="1">
      <c r="A250" s="46"/>
      <c r="B250" s="46"/>
      <c r="C250" s="46"/>
      <c r="D250" s="46"/>
      <c r="E250" s="47"/>
      <c r="F250" s="47"/>
      <c r="G250" s="47"/>
    </row>
    <row r="251" ht="15.75" customHeight="1">
      <c r="A251" s="46"/>
      <c r="B251" s="46"/>
      <c r="C251" s="46"/>
      <c r="D251" s="46"/>
      <c r="E251" s="47"/>
      <c r="F251" s="47"/>
      <c r="G251" s="47"/>
    </row>
    <row r="252" ht="15.75" customHeight="1">
      <c r="A252" s="46"/>
      <c r="B252" s="46"/>
      <c r="C252" s="46"/>
      <c r="D252" s="46"/>
      <c r="E252" s="47"/>
      <c r="F252" s="47"/>
      <c r="G252" s="47"/>
    </row>
    <row r="253" ht="15.75" customHeight="1">
      <c r="A253" s="46"/>
      <c r="B253" s="46"/>
      <c r="C253" s="46"/>
      <c r="D253" s="46"/>
      <c r="E253" s="47"/>
      <c r="F253" s="47"/>
      <c r="G253" s="47"/>
    </row>
    <row r="254" ht="15.75" customHeight="1">
      <c r="A254" s="46"/>
      <c r="B254" s="46"/>
      <c r="C254" s="46"/>
      <c r="D254" s="46"/>
      <c r="E254" s="47"/>
      <c r="F254" s="47"/>
      <c r="G254" s="47"/>
    </row>
    <row r="255" ht="15.75" customHeight="1">
      <c r="A255" s="46"/>
      <c r="B255" s="46"/>
      <c r="C255" s="46"/>
      <c r="D255" s="46"/>
      <c r="E255" s="47"/>
      <c r="F255" s="47"/>
      <c r="G255" s="47"/>
    </row>
    <row r="256" ht="15.75" customHeight="1">
      <c r="A256" s="46"/>
      <c r="B256" s="46"/>
      <c r="C256" s="46"/>
      <c r="D256" s="46"/>
      <c r="E256" s="47"/>
      <c r="F256" s="47">
        <v>4.0</v>
      </c>
      <c r="G256" s="47">
        <v>4.0</v>
      </c>
    </row>
    <row r="257" ht="15.75" customHeight="1">
      <c r="A257" s="46"/>
      <c r="B257" s="46"/>
      <c r="C257" s="46"/>
      <c r="D257" s="46"/>
      <c r="E257" s="47"/>
      <c r="F257" s="47"/>
      <c r="G257" s="47"/>
    </row>
    <row r="258" ht="15.75" customHeight="1">
      <c r="A258" s="46"/>
      <c r="B258" s="46"/>
      <c r="C258" s="46"/>
      <c r="D258" s="46"/>
      <c r="E258" s="47"/>
      <c r="F258" s="47"/>
      <c r="G258" s="47"/>
    </row>
    <row r="259" ht="15.75" customHeight="1">
      <c r="A259" s="46"/>
      <c r="B259" s="46"/>
      <c r="C259" s="46"/>
      <c r="D259" s="46"/>
      <c r="E259" s="47"/>
      <c r="F259" s="47"/>
      <c r="G259" s="47"/>
    </row>
    <row r="260" ht="15.75" customHeight="1">
      <c r="A260" s="46"/>
      <c r="B260" s="46"/>
      <c r="C260" s="46"/>
      <c r="D260" s="46"/>
      <c r="E260" s="47"/>
      <c r="F260" s="47"/>
      <c r="G260" s="47"/>
    </row>
    <row r="261" ht="15.75" customHeight="1">
      <c r="A261" s="46"/>
      <c r="B261" s="46"/>
      <c r="C261" s="46"/>
      <c r="D261" s="46"/>
      <c r="E261" s="47"/>
      <c r="F261" s="47"/>
      <c r="G261" s="47"/>
    </row>
    <row r="262" ht="15.75" customHeight="1">
      <c r="A262" s="46"/>
      <c r="B262" s="46"/>
      <c r="C262" s="46"/>
      <c r="D262" s="46"/>
      <c r="E262" s="47"/>
      <c r="F262" s="47"/>
      <c r="G262" s="47"/>
    </row>
    <row r="263" ht="15.75" customHeight="1">
      <c r="A263" s="46"/>
      <c r="B263" s="46"/>
      <c r="C263" s="46"/>
      <c r="D263" s="46"/>
      <c r="E263" s="47"/>
      <c r="F263" s="47"/>
      <c r="G263" s="47"/>
    </row>
    <row r="264" ht="15.75" customHeight="1">
      <c r="A264" s="46"/>
      <c r="B264" s="46"/>
      <c r="C264" s="46"/>
      <c r="D264" s="46"/>
      <c r="E264" s="47"/>
      <c r="F264" s="47"/>
      <c r="G264" s="47"/>
    </row>
    <row r="265" ht="15.75" customHeight="1">
      <c r="A265" s="46"/>
      <c r="B265" s="46"/>
      <c r="C265" s="46"/>
      <c r="D265" s="46"/>
      <c r="E265" s="47"/>
      <c r="F265" s="47"/>
      <c r="G265" s="47"/>
    </row>
    <row r="266" ht="15.75" customHeight="1">
      <c r="A266" s="46"/>
      <c r="B266" s="46"/>
      <c r="C266" s="46"/>
      <c r="D266" s="46"/>
      <c r="E266" s="47"/>
      <c r="F266" s="47"/>
      <c r="G266" s="47"/>
    </row>
    <row r="267" ht="15.75" customHeight="1">
      <c r="A267" s="46"/>
      <c r="B267" s="46"/>
      <c r="C267" s="46"/>
      <c r="D267" s="46"/>
      <c r="E267" s="47"/>
      <c r="F267" s="47"/>
      <c r="G267" s="47"/>
    </row>
    <row r="268" ht="15.75" customHeight="1">
      <c r="A268" s="46"/>
      <c r="B268" s="46"/>
      <c r="C268" s="46"/>
      <c r="D268" s="46"/>
      <c r="E268" s="47"/>
      <c r="F268" s="47"/>
      <c r="G268" s="47"/>
    </row>
    <row r="269" ht="15.75" customHeight="1">
      <c r="A269" s="46"/>
      <c r="B269" s="46"/>
      <c r="C269" s="46"/>
      <c r="D269" s="46"/>
      <c r="E269" s="47"/>
      <c r="F269" s="47"/>
      <c r="G269" s="47"/>
    </row>
    <row r="270" ht="15.75" customHeight="1">
      <c r="A270" s="46"/>
      <c r="B270" s="46"/>
      <c r="C270" s="46"/>
      <c r="D270" s="46"/>
      <c r="E270" s="47"/>
      <c r="F270" s="47"/>
      <c r="G270" s="47"/>
    </row>
    <row r="271" ht="15.75" customHeight="1">
      <c r="A271" s="46"/>
      <c r="B271" s="46"/>
      <c r="C271" s="46"/>
      <c r="D271" s="46"/>
      <c r="E271" s="47"/>
      <c r="F271" s="47"/>
      <c r="G271" s="47"/>
    </row>
    <row r="272" ht="15.75" customHeight="1">
      <c r="A272" s="46"/>
      <c r="B272" s="46"/>
      <c r="C272" s="46"/>
      <c r="D272" s="46"/>
      <c r="E272" s="47"/>
      <c r="F272" s="47"/>
      <c r="G272" s="47"/>
    </row>
    <row r="273" ht="15.75" customHeight="1">
      <c r="A273" s="46"/>
      <c r="B273" s="46"/>
      <c r="C273" s="46"/>
      <c r="D273" s="46"/>
      <c r="E273" s="47"/>
      <c r="F273" s="47"/>
      <c r="G273" s="47"/>
    </row>
    <row r="274" ht="15.75" customHeight="1">
      <c r="A274" s="46"/>
      <c r="B274" s="46"/>
      <c r="C274" s="46"/>
      <c r="D274" s="46"/>
      <c r="E274" s="47"/>
      <c r="F274" s="47"/>
      <c r="G274" s="47"/>
    </row>
    <row r="275" ht="15.75" customHeight="1">
      <c r="A275" s="46"/>
      <c r="B275" s="46"/>
      <c r="C275" s="46"/>
      <c r="D275" s="46"/>
      <c r="E275" s="47"/>
      <c r="F275" s="47"/>
      <c r="G275" s="47"/>
    </row>
    <row r="276" ht="15.75" customHeight="1">
      <c r="A276" s="46"/>
      <c r="B276" s="46"/>
      <c r="C276" s="46"/>
      <c r="D276" s="46"/>
      <c r="E276" s="47"/>
      <c r="F276" s="47"/>
      <c r="G276" s="47"/>
    </row>
    <row r="277" ht="15.75" customHeight="1">
      <c r="A277" s="46"/>
      <c r="B277" s="46"/>
      <c r="C277" s="46"/>
      <c r="D277" s="46"/>
      <c r="E277" s="47"/>
      <c r="F277" s="47"/>
      <c r="G277" s="47"/>
    </row>
    <row r="278" ht="15.75" customHeight="1">
      <c r="A278" s="46"/>
      <c r="B278" s="46"/>
      <c r="C278" s="46"/>
      <c r="D278" s="46"/>
      <c r="E278" s="47"/>
      <c r="F278" s="47"/>
      <c r="G278" s="47"/>
    </row>
    <row r="279" ht="15.75" customHeight="1">
      <c r="A279" s="46"/>
      <c r="B279" s="46"/>
      <c r="C279" s="46"/>
      <c r="D279" s="46"/>
      <c r="E279" s="47"/>
      <c r="F279" s="47"/>
      <c r="G279" s="47"/>
    </row>
    <row r="280" ht="15.75" customHeight="1">
      <c r="A280" s="46"/>
      <c r="B280" s="46"/>
      <c r="C280" s="46"/>
      <c r="D280" s="46"/>
      <c r="E280" s="47"/>
      <c r="F280" s="47"/>
      <c r="G280" s="47"/>
    </row>
    <row r="281" ht="15.75" customHeight="1">
      <c r="A281" s="46"/>
      <c r="B281" s="46"/>
      <c r="C281" s="46"/>
      <c r="D281" s="46"/>
      <c r="E281" s="47"/>
      <c r="F281" s="47"/>
      <c r="G281" s="47"/>
    </row>
    <row r="282" ht="15.75" customHeight="1">
      <c r="A282" s="46"/>
      <c r="B282" s="46"/>
      <c r="C282" s="46"/>
      <c r="D282" s="46"/>
      <c r="E282" s="47"/>
      <c r="F282" s="47"/>
      <c r="G282" s="47"/>
    </row>
    <row r="283" ht="15.75" customHeight="1">
      <c r="A283" s="46"/>
      <c r="B283" s="46"/>
      <c r="C283" s="46"/>
      <c r="D283" s="46"/>
      <c r="E283" s="47"/>
      <c r="F283" s="47"/>
      <c r="G283" s="47"/>
    </row>
    <row r="284" ht="15.75" customHeight="1">
      <c r="A284" s="46"/>
      <c r="B284" s="46"/>
      <c r="C284" s="46"/>
      <c r="D284" s="46"/>
      <c r="E284" s="47"/>
      <c r="F284" s="47"/>
      <c r="G284" s="47"/>
    </row>
    <row r="285" ht="15.75" customHeight="1">
      <c r="A285" s="46"/>
      <c r="B285" s="46"/>
      <c r="C285" s="46"/>
      <c r="D285" s="46"/>
      <c r="E285" s="47"/>
      <c r="F285" s="47"/>
      <c r="G285" s="47"/>
    </row>
    <row r="286" ht="15.75" customHeight="1">
      <c r="A286" s="46"/>
      <c r="B286" s="46"/>
      <c r="C286" s="46"/>
      <c r="D286" s="46"/>
      <c r="E286" s="47"/>
      <c r="F286" s="47"/>
      <c r="G286" s="47"/>
    </row>
    <row r="287" ht="15.75" customHeight="1">
      <c r="A287" s="46"/>
      <c r="B287" s="46"/>
      <c r="C287" s="46"/>
      <c r="D287" s="46"/>
      <c r="E287" s="47"/>
      <c r="F287" s="47"/>
      <c r="G287" s="47"/>
    </row>
    <row r="288" ht="15.75" customHeight="1">
      <c r="A288" s="46"/>
      <c r="B288" s="46"/>
      <c r="C288" s="46"/>
      <c r="D288" s="46"/>
      <c r="E288" s="47"/>
      <c r="F288" s="47"/>
      <c r="G288" s="47"/>
    </row>
    <row r="289" ht="15.75" customHeight="1">
      <c r="A289" s="46"/>
      <c r="B289" s="46"/>
      <c r="C289" s="46"/>
      <c r="D289" s="46"/>
      <c r="E289" s="47"/>
      <c r="F289" s="47"/>
      <c r="G289" s="47"/>
    </row>
    <row r="290" ht="15.75" customHeight="1">
      <c r="A290" s="46"/>
      <c r="B290" s="46"/>
      <c r="C290" s="46"/>
      <c r="D290" s="46"/>
      <c r="E290" s="47"/>
      <c r="F290" s="47"/>
      <c r="G290" s="47"/>
    </row>
    <row r="291" ht="15.75" customHeight="1">
      <c r="A291" s="46"/>
      <c r="B291" s="46"/>
      <c r="C291" s="46"/>
      <c r="D291" s="46"/>
      <c r="E291" s="47"/>
      <c r="F291" s="47"/>
      <c r="G291" s="47"/>
    </row>
    <row r="292" ht="15.75" customHeight="1">
      <c r="A292" s="46"/>
      <c r="B292" s="46"/>
      <c r="C292" s="46"/>
      <c r="D292" s="46"/>
      <c r="E292" s="47"/>
      <c r="F292" s="47"/>
      <c r="G292" s="47"/>
    </row>
    <row r="293" ht="15.75" customHeight="1">
      <c r="A293" s="46"/>
      <c r="B293" s="46"/>
      <c r="C293" s="46"/>
      <c r="D293" s="46"/>
      <c r="E293" s="47"/>
      <c r="F293" s="47"/>
      <c r="G293" s="47"/>
    </row>
    <row r="294" ht="15.75" customHeight="1">
      <c r="A294" s="46"/>
      <c r="B294" s="46"/>
      <c r="C294" s="46"/>
      <c r="D294" s="46"/>
      <c r="E294" s="47"/>
      <c r="F294" s="47"/>
      <c r="G294" s="47"/>
    </row>
    <row r="295" ht="15.75" customHeight="1">
      <c r="A295" s="46"/>
      <c r="B295" s="46"/>
      <c r="C295" s="46"/>
      <c r="D295" s="46"/>
      <c r="E295" s="47"/>
      <c r="F295" s="47"/>
      <c r="G295" s="47"/>
    </row>
    <row r="296" ht="15.75" customHeight="1">
      <c r="A296" s="46"/>
      <c r="B296" s="46"/>
      <c r="C296" s="46"/>
      <c r="D296" s="46"/>
      <c r="E296" s="47"/>
      <c r="F296" s="47"/>
      <c r="G296" s="47"/>
    </row>
    <row r="297" ht="15.75" customHeight="1">
      <c r="A297" s="46"/>
      <c r="B297" s="46"/>
      <c r="C297" s="46"/>
      <c r="D297" s="46"/>
      <c r="E297" s="47"/>
      <c r="F297" s="47"/>
      <c r="G297" s="47"/>
    </row>
    <row r="298" ht="15.75" customHeight="1">
      <c r="A298" s="46"/>
      <c r="B298" s="46"/>
      <c r="C298" s="46"/>
      <c r="D298" s="46"/>
      <c r="E298" s="47"/>
      <c r="F298" s="47"/>
      <c r="G298" s="47"/>
    </row>
    <row r="299" ht="15.75" customHeight="1">
      <c r="A299" s="46"/>
      <c r="B299" s="46"/>
      <c r="C299" s="46"/>
      <c r="D299" s="46"/>
      <c r="E299" s="47"/>
      <c r="F299" s="47"/>
      <c r="G299" s="47"/>
    </row>
    <row r="300" ht="15.75" customHeight="1">
      <c r="A300" s="46"/>
      <c r="B300" s="46"/>
      <c r="C300" s="46"/>
      <c r="D300" s="46"/>
      <c r="E300" s="47"/>
      <c r="F300" s="47"/>
      <c r="G300" s="47"/>
    </row>
    <row r="301" ht="15.75" customHeight="1">
      <c r="A301" s="46"/>
      <c r="B301" s="46"/>
      <c r="C301" s="46"/>
      <c r="D301" s="46"/>
      <c r="E301" s="47"/>
      <c r="F301" s="47"/>
      <c r="G301" s="47"/>
    </row>
    <row r="302" ht="15.75" customHeight="1">
      <c r="A302" s="46"/>
      <c r="B302" s="46"/>
      <c r="C302" s="46"/>
      <c r="D302" s="46"/>
      <c r="E302" s="47"/>
      <c r="F302" s="47"/>
      <c r="G302" s="47"/>
    </row>
    <row r="303" ht="15.75" customHeight="1">
      <c r="A303" s="46"/>
      <c r="B303" s="46"/>
      <c r="C303" s="46"/>
      <c r="D303" s="46"/>
      <c r="E303" s="47"/>
      <c r="F303" s="47"/>
      <c r="G303" s="47"/>
    </row>
    <row r="304" ht="15.75" customHeight="1">
      <c r="A304" s="46"/>
      <c r="B304" s="46"/>
      <c r="C304" s="46"/>
      <c r="D304" s="46"/>
      <c r="E304" s="47"/>
      <c r="F304" s="47"/>
      <c r="G304" s="47"/>
    </row>
    <row r="305" ht="15.75" customHeight="1">
      <c r="A305" s="46"/>
      <c r="B305" s="46"/>
      <c r="C305" s="46"/>
      <c r="D305" s="46"/>
      <c r="E305" s="47"/>
      <c r="F305" s="47"/>
      <c r="G305" s="47"/>
    </row>
    <row r="306" ht="15.75" customHeight="1">
      <c r="A306" s="46"/>
      <c r="B306" s="46"/>
      <c r="C306" s="46"/>
      <c r="D306" s="46"/>
      <c r="E306" s="47"/>
      <c r="F306" s="47"/>
      <c r="G306" s="47"/>
    </row>
    <row r="307" ht="15.75" customHeight="1">
      <c r="A307" s="46"/>
      <c r="B307" s="46"/>
      <c r="C307" s="46"/>
      <c r="D307" s="46"/>
      <c r="E307" s="47"/>
      <c r="F307" s="47"/>
      <c r="G307" s="47"/>
    </row>
    <row r="308" ht="15.75" customHeight="1">
      <c r="A308" s="46"/>
      <c r="B308" s="46"/>
      <c r="C308" s="46"/>
      <c r="D308" s="46"/>
      <c r="E308" s="47"/>
      <c r="F308" s="47"/>
      <c r="G308" s="47"/>
    </row>
    <row r="309" ht="15.75" customHeight="1">
      <c r="A309" s="46"/>
      <c r="B309" s="46"/>
      <c r="C309" s="46"/>
      <c r="D309" s="46"/>
      <c r="E309" s="47"/>
      <c r="F309" s="47"/>
      <c r="G309" s="47"/>
    </row>
    <row r="310" ht="15.75" customHeight="1">
      <c r="A310" s="46"/>
      <c r="B310" s="46"/>
      <c r="C310" s="46"/>
      <c r="D310" s="46"/>
      <c r="E310" s="47"/>
      <c r="F310" s="47"/>
      <c r="G310" s="47"/>
    </row>
    <row r="311" ht="15.75" customHeight="1">
      <c r="A311" s="46"/>
      <c r="B311" s="46"/>
      <c r="C311" s="46"/>
      <c r="D311" s="46"/>
      <c r="E311" s="47"/>
      <c r="F311" s="47"/>
      <c r="G311" s="47"/>
    </row>
    <row r="312" ht="15.75" customHeight="1">
      <c r="A312" s="46"/>
      <c r="B312" s="46"/>
      <c r="C312" s="46"/>
      <c r="D312" s="46"/>
      <c r="E312" s="47"/>
      <c r="F312" s="47"/>
      <c r="G312" s="47"/>
    </row>
    <row r="313" ht="15.75" customHeight="1">
      <c r="A313" s="46"/>
      <c r="B313" s="46"/>
      <c r="C313" s="46"/>
      <c r="D313" s="46"/>
      <c r="E313" s="47"/>
      <c r="F313" s="47"/>
      <c r="G313" s="47"/>
    </row>
    <row r="314" ht="15.75" customHeight="1">
      <c r="A314" s="46"/>
      <c r="B314" s="46"/>
      <c r="C314" s="46"/>
      <c r="D314" s="46"/>
      <c r="E314" s="47"/>
      <c r="F314" s="47"/>
      <c r="G314" s="47"/>
    </row>
    <row r="315" ht="15.75" customHeight="1">
      <c r="A315" s="46"/>
      <c r="B315" s="46"/>
      <c r="C315" s="46"/>
      <c r="D315" s="46"/>
      <c r="E315" s="47"/>
      <c r="F315" s="47"/>
      <c r="G315" s="47"/>
    </row>
    <row r="316" ht="15.75" customHeight="1">
      <c r="A316" s="46"/>
      <c r="B316" s="46"/>
      <c r="C316" s="46"/>
      <c r="D316" s="46"/>
      <c r="E316" s="47"/>
      <c r="F316" s="47"/>
      <c r="G316" s="47"/>
    </row>
    <row r="317" ht="15.75" customHeight="1">
      <c r="A317" s="46"/>
      <c r="B317" s="46"/>
      <c r="C317" s="46"/>
      <c r="D317" s="46"/>
      <c r="E317" s="47"/>
      <c r="F317" s="47"/>
      <c r="G317" s="47"/>
    </row>
    <row r="318" ht="15.75" customHeight="1">
      <c r="A318" s="46"/>
      <c r="B318" s="46"/>
      <c r="C318" s="46"/>
      <c r="D318" s="46"/>
      <c r="E318" s="47"/>
      <c r="F318" s="47"/>
      <c r="G318" s="47"/>
    </row>
    <row r="319" ht="15.75" customHeight="1">
      <c r="A319" s="46"/>
      <c r="B319" s="46"/>
      <c r="C319" s="46"/>
      <c r="D319" s="46"/>
      <c r="E319" s="47"/>
      <c r="F319" s="47"/>
      <c r="G319" s="47"/>
    </row>
    <row r="320" ht="15.75" customHeight="1">
      <c r="A320" s="46"/>
      <c r="B320" s="46"/>
      <c r="C320" s="46"/>
      <c r="D320" s="46"/>
      <c r="E320" s="47"/>
      <c r="F320" s="47"/>
      <c r="G320" s="47"/>
    </row>
    <row r="321" ht="15.75" customHeight="1">
      <c r="A321" s="46"/>
      <c r="B321" s="46"/>
      <c r="C321" s="46"/>
      <c r="D321" s="46"/>
      <c r="E321" s="47"/>
      <c r="F321" s="47"/>
      <c r="G321" s="47"/>
    </row>
    <row r="322" ht="15.75" customHeight="1">
      <c r="A322" s="46"/>
      <c r="B322" s="46"/>
      <c r="C322" s="46"/>
      <c r="D322" s="46"/>
      <c r="E322" s="47"/>
      <c r="F322" s="47"/>
      <c r="G322" s="47"/>
    </row>
    <row r="323" ht="15.75" customHeight="1">
      <c r="A323" s="46"/>
      <c r="B323" s="46"/>
      <c r="C323" s="46"/>
      <c r="D323" s="46"/>
      <c r="E323" s="47"/>
      <c r="F323" s="47"/>
      <c r="G323" s="47"/>
    </row>
    <row r="324" ht="15.75" customHeight="1">
      <c r="A324" s="46"/>
      <c r="B324" s="46"/>
      <c r="C324" s="46"/>
      <c r="D324" s="46"/>
      <c r="E324" s="47"/>
      <c r="F324" s="47"/>
      <c r="G324" s="47"/>
    </row>
    <row r="325" ht="15.75" customHeight="1">
      <c r="A325" s="46"/>
      <c r="B325" s="46"/>
      <c r="C325" s="46"/>
      <c r="D325" s="46"/>
      <c r="E325" s="47"/>
      <c r="F325" s="47"/>
      <c r="G325" s="47"/>
    </row>
    <row r="326" ht="15.75" customHeight="1">
      <c r="A326" s="46"/>
      <c r="B326" s="46"/>
      <c r="C326" s="46"/>
      <c r="D326" s="46"/>
      <c r="E326" s="47"/>
      <c r="F326" s="47"/>
      <c r="G326" s="47"/>
    </row>
    <row r="327" ht="15.75" customHeight="1">
      <c r="A327" s="46"/>
      <c r="B327" s="46"/>
      <c r="C327" s="46"/>
      <c r="D327" s="46"/>
      <c r="E327" s="47"/>
      <c r="F327" s="47"/>
      <c r="G327" s="47"/>
    </row>
    <row r="328" ht="15.75" customHeight="1">
      <c r="A328" s="46"/>
      <c r="B328" s="46"/>
      <c r="C328" s="46"/>
      <c r="D328" s="46"/>
      <c r="E328" s="47"/>
      <c r="F328" s="47"/>
      <c r="G328" s="47"/>
    </row>
    <row r="329" ht="15.75" customHeight="1">
      <c r="A329" s="46"/>
      <c r="B329" s="46"/>
      <c r="C329" s="46"/>
      <c r="D329" s="46"/>
      <c r="E329" s="47"/>
      <c r="F329" s="47"/>
      <c r="G329" s="47"/>
    </row>
    <row r="330" ht="15.75" customHeight="1">
      <c r="A330" s="46"/>
      <c r="B330" s="46"/>
      <c r="C330" s="46"/>
      <c r="D330" s="46"/>
      <c r="E330" s="47"/>
      <c r="F330" s="47"/>
      <c r="G330" s="47"/>
    </row>
    <row r="331" ht="15.75" customHeight="1">
      <c r="A331" s="46"/>
      <c r="B331" s="46"/>
      <c r="C331" s="46"/>
      <c r="D331" s="46"/>
      <c r="E331" s="47"/>
      <c r="F331" s="47"/>
      <c r="G331" s="47"/>
    </row>
    <row r="332" ht="15.75" customHeight="1">
      <c r="A332" s="46"/>
      <c r="B332" s="46"/>
      <c r="C332" s="46"/>
      <c r="D332" s="46"/>
      <c r="E332" s="47"/>
      <c r="F332" s="47"/>
      <c r="G332" s="47"/>
    </row>
    <row r="333" ht="15.75" customHeight="1">
      <c r="A333" s="46"/>
      <c r="B333" s="46"/>
      <c r="C333" s="46"/>
      <c r="D333" s="46"/>
      <c r="E333" s="47"/>
      <c r="F333" s="47"/>
      <c r="G333" s="47"/>
    </row>
    <row r="334" ht="15.75" customHeight="1">
      <c r="A334" s="46"/>
      <c r="B334" s="46"/>
      <c r="C334" s="46"/>
      <c r="D334" s="46"/>
      <c r="E334" s="47"/>
      <c r="F334" s="47"/>
      <c r="G334" s="47"/>
    </row>
    <row r="335" ht="15.75" customHeight="1">
      <c r="A335" s="46"/>
      <c r="B335" s="46"/>
      <c r="C335" s="46"/>
      <c r="D335" s="46"/>
      <c r="E335" s="47"/>
      <c r="F335" s="47"/>
      <c r="G335" s="47"/>
    </row>
    <row r="336" ht="15.75" customHeight="1">
      <c r="A336" s="46"/>
      <c r="B336" s="46"/>
      <c r="C336" s="46"/>
      <c r="D336" s="46"/>
      <c r="E336" s="47"/>
      <c r="F336" s="47"/>
      <c r="G336" s="47"/>
    </row>
    <row r="337" ht="15.75" customHeight="1">
      <c r="A337" s="46"/>
      <c r="B337" s="46"/>
      <c r="C337" s="46"/>
      <c r="D337" s="46"/>
      <c r="E337" s="47"/>
      <c r="F337" s="47"/>
      <c r="G337" s="47"/>
    </row>
    <row r="338" ht="15.75" customHeight="1">
      <c r="A338" s="46"/>
      <c r="B338" s="46"/>
      <c r="C338" s="46"/>
      <c r="D338" s="46"/>
      <c r="E338" s="47"/>
      <c r="F338" s="47"/>
      <c r="G338" s="47"/>
    </row>
    <row r="339" ht="15.75" customHeight="1">
      <c r="A339" s="46"/>
      <c r="B339" s="46"/>
      <c r="C339" s="46"/>
      <c r="D339" s="46"/>
      <c r="E339" s="47"/>
      <c r="F339" s="47"/>
      <c r="G339" s="47"/>
    </row>
    <row r="340" ht="15.75" customHeight="1">
      <c r="A340" s="46"/>
      <c r="B340" s="46"/>
      <c r="C340" s="46"/>
      <c r="D340" s="46"/>
      <c r="E340" s="47"/>
      <c r="F340" s="47"/>
      <c r="G340" s="47"/>
    </row>
    <row r="341" ht="15.75" customHeight="1">
      <c r="A341" s="46"/>
      <c r="B341" s="46"/>
      <c r="C341" s="46"/>
      <c r="D341" s="46"/>
      <c r="E341" s="47"/>
      <c r="F341" s="47"/>
      <c r="G341" s="47"/>
    </row>
    <row r="342" ht="15.75" customHeight="1">
      <c r="A342" s="46"/>
      <c r="B342" s="46"/>
      <c r="C342" s="46"/>
      <c r="D342" s="46"/>
      <c r="E342" s="47"/>
      <c r="F342" s="47"/>
      <c r="G342" s="47"/>
    </row>
    <row r="343" ht="15.75" customHeight="1">
      <c r="A343" s="46"/>
      <c r="B343" s="46"/>
      <c r="C343" s="46"/>
      <c r="D343" s="46"/>
      <c r="E343" s="47"/>
      <c r="F343" s="47"/>
      <c r="G343" s="47"/>
    </row>
    <row r="344" ht="15.75" customHeight="1">
      <c r="A344" s="46"/>
      <c r="B344" s="46"/>
      <c r="C344" s="46"/>
      <c r="D344" s="46"/>
      <c r="E344" s="47"/>
      <c r="F344" s="47"/>
      <c r="G344" s="47"/>
    </row>
    <row r="345" ht="15.75" customHeight="1">
      <c r="A345" s="46"/>
      <c r="B345" s="46"/>
      <c r="C345" s="46"/>
      <c r="D345" s="46"/>
      <c r="E345" s="47"/>
      <c r="F345" s="47"/>
      <c r="G345" s="47"/>
    </row>
    <row r="346" ht="15.75" customHeight="1">
      <c r="A346" s="46"/>
      <c r="B346" s="46"/>
      <c r="C346" s="46"/>
      <c r="D346" s="46"/>
      <c r="E346" s="47"/>
      <c r="F346" s="47"/>
      <c r="G346" s="47"/>
    </row>
    <row r="347" ht="15.75" customHeight="1">
      <c r="A347" s="46"/>
      <c r="B347" s="46"/>
      <c r="C347" s="46"/>
      <c r="D347" s="46"/>
      <c r="E347" s="47"/>
      <c r="F347" s="47"/>
      <c r="G347" s="47"/>
    </row>
    <row r="348" ht="15.75" customHeight="1">
      <c r="A348" s="46"/>
      <c r="B348" s="46"/>
      <c r="C348" s="46"/>
      <c r="D348" s="46"/>
      <c r="E348" s="47"/>
      <c r="F348" s="47"/>
      <c r="G348" s="47"/>
    </row>
    <row r="349" ht="15.75" customHeight="1">
      <c r="A349" s="46"/>
      <c r="B349" s="46"/>
      <c r="C349" s="46"/>
      <c r="D349" s="46"/>
      <c r="E349" s="47"/>
      <c r="F349" s="47"/>
      <c r="G349" s="47"/>
    </row>
    <row r="350" ht="15.75" customHeight="1">
      <c r="A350" s="46"/>
      <c r="B350" s="46"/>
      <c r="C350" s="46"/>
      <c r="D350" s="46"/>
      <c r="E350" s="47"/>
      <c r="F350" s="47"/>
      <c r="G350" s="47"/>
    </row>
    <row r="351" ht="15.75" customHeight="1">
      <c r="A351" s="46"/>
      <c r="B351" s="46"/>
      <c r="C351" s="46"/>
      <c r="D351" s="46"/>
      <c r="E351" s="47"/>
      <c r="F351" s="47"/>
      <c r="G351" s="47"/>
    </row>
    <row r="352" ht="15.75" customHeight="1">
      <c r="A352" s="46"/>
      <c r="B352" s="46"/>
      <c r="C352" s="46"/>
      <c r="D352" s="46"/>
      <c r="E352" s="47"/>
      <c r="F352" s="47"/>
      <c r="G352" s="47"/>
    </row>
    <row r="353" ht="15.75" customHeight="1">
      <c r="A353" s="46"/>
      <c r="B353" s="46"/>
      <c r="C353" s="46"/>
      <c r="D353" s="46"/>
      <c r="E353" s="47"/>
      <c r="F353" s="47"/>
      <c r="G353" s="47"/>
    </row>
    <row r="354" ht="15.75" customHeight="1">
      <c r="A354" s="46"/>
      <c r="B354" s="46"/>
      <c r="C354" s="46"/>
      <c r="D354" s="46"/>
      <c r="E354" s="47"/>
      <c r="F354" s="47"/>
      <c r="G354" s="47"/>
    </row>
    <row r="355" ht="15.75" customHeight="1">
      <c r="A355" s="46"/>
      <c r="B355" s="46"/>
      <c r="C355" s="46"/>
      <c r="D355" s="46"/>
      <c r="E355" s="47"/>
      <c r="F355" s="47"/>
      <c r="G355" s="47"/>
    </row>
    <row r="356" ht="15.75" customHeight="1">
      <c r="A356" s="46"/>
      <c r="B356" s="46"/>
      <c r="C356" s="46"/>
      <c r="D356" s="46"/>
      <c r="E356" s="47"/>
      <c r="F356" s="47"/>
      <c r="G356" s="47"/>
    </row>
    <row r="357" ht="15.75" customHeight="1">
      <c r="A357" s="46"/>
      <c r="B357" s="46"/>
      <c r="C357" s="46"/>
      <c r="D357" s="46"/>
      <c r="E357" s="47"/>
      <c r="F357" s="47"/>
      <c r="G357" s="47"/>
    </row>
    <row r="358" ht="15.75" customHeight="1">
      <c r="A358" s="46"/>
      <c r="B358" s="46"/>
      <c r="C358" s="46"/>
      <c r="D358" s="46"/>
      <c r="E358" s="47"/>
      <c r="F358" s="47"/>
      <c r="G358" s="47"/>
    </row>
    <row r="359" ht="15.75" customHeight="1">
      <c r="A359" s="46"/>
      <c r="B359" s="46"/>
      <c r="C359" s="46"/>
      <c r="D359" s="46"/>
      <c r="E359" s="47"/>
      <c r="F359" s="47"/>
      <c r="G359" s="47"/>
    </row>
    <row r="360" ht="15.75" customHeight="1">
      <c r="A360" s="46"/>
      <c r="B360" s="46"/>
      <c r="C360" s="46"/>
      <c r="D360" s="46"/>
      <c r="E360" s="47"/>
      <c r="F360" s="47"/>
      <c r="G360" s="47"/>
    </row>
    <row r="361" ht="15.75" customHeight="1">
      <c r="A361" s="46"/>
      <c r="B361" s="46"/>
      <c r="C361" s="46"/>
      <c r="D361" s="46"/>
      <c r="E361" s="47"/>
      <c r="F361" s="47"/>
      <c r="G361" s="47"/>
    </row>
    <row r="362" ht="15.75" customHeight="1">
      <c r="A362" s="46"/>
      <c r="B362" s="46"/>
      <c r="C362" s="46"/>
      <c r="D362" s="46"/>
      <c r="E362" s="47"/>
      <c r="F362" s="47"/>
      <c r="G362" s="47"/>
    </row>
    <row r="363" ht="15.75" customHeight="1">
      <c r="A363" s="46"/>
      <c r="B363" s="46"/>
      <c r="C363" s="46"/>
      <c r="D363" s="46"/>
      <c r="E363" s="47"/>
      <c r="F363" s="47"/>
      <c r="G363" s="47"/>
    </row>
    <row r="364" ht="15.75" customHeight="1">
      <c r="A364" s="46"/>
      <c r="B364" s="46"/>
      <c r="C364" s="46"/>
      <c r="D364" s="46"/>
      <c r="E364" s="47"/>
      <c r="F364" s="47"/>
      <c r="G364" s="47"/>
    </row>
    <row r="365" ht="15.75" customHeight="1">
      <c r="A365" s="46"/>
      <c r="B365" s="46"/>
      <c r="C365" s="46"/>
      <c r="D365" s="46"/>
      <c r="E365" s="47"/>
      <c r="F365" s="47"/>
      <c r="G365" s="47"/>
    </row>
    <row r="366" ht="15.75" customHeight="1">
      <c r="A366" s="46"/>
      <c r="B366" s="46"/>
      <c r="C366" s="46"/>
      <c r="D366" s="46"/>
      <c r="E366" s="47"/>
      <c r="F366" s="47"/>
      <c r="G366" s="47"/>
    </row>
    <row r="367" ht="15.75" customHeight="1">
      <c r="A367" s="46"/>
      <c r="B367" s="46"/>
      <c r="C367" s="46"/>
      <c r="D367" s="46"/>
      <c r="E367" s="47"/>
      <c r="F367" s="47"/>
      <c r="G367" s="47"/>
    </row>
    <row r="368" ht="15.75" customHeight="1">
      <c r="A368" s="46"/>
      <c r="B368" s="46"/>
      <c r="C368" s="46"/>
      <c r="D368" s="46"/>
      <c r="E368" s="47"/>
      <c r="F368" s="47"/>
      <c r="G368" s="47"/>
    </row>
    <row r="369" ht="15.75" customHeight="1">
      <c r="A369" s="46"/>
      <c r="B369" s="46"/>
      <c r="C369" s="46"/>
      <c r="D369" s="46"/>
      <c r="E369" s="47"/>
      <c r="F369" s="47"/>
      <c r="G369" s="47"/>
    </row>
    <row r="370" ht="15.75" customHeight="1">
      <c r="A370" s="46"/>
      <c r="B370" s="46"/>
      <c r="C370" s="46"/>
      <c r="D370" s="46"/>
      <c r="E370" s="47"/>
      <c r="F370" s="47"/>
      <c r="G370" s="47"/>
    </row>
    <row r="371" ht="15.75" customHeight="1">
      <c r="A371" s="46"/>
      <c r="B371" s="46"/>
      <c r="C371" s="46"/>
      <c r="D371" s="46"/>
      <c r="E371" s="47"/>
      <c r="F371" s="47"/>
      <c r="G371" s="47"/>
    </row>
    <row r="372" ht="15.75" customHeight="1">
      <c r="A372" s="46"/>
      <c r="B372" s="46"/>
      <c r="C372" s="46"/>
      <c r="D372" s="46"/>
      <c r="E372" s="47"/>
      <c r="F372" s="47"/>
      <c r="G372" s="47"/>
    </row>
    <row r="373" ht="15.75" customHeight="1">
      <c r="A373" s="46"/>
      <c r="B373" s="46"/>
      <c r="C373" s="46"/>
      <c r="D373" s="46"/>
      <c r="E373" s="47"/>
      <c r="F373" s="47"/>
      <c r="G373" s="47"/>
    </row>
    <row r="374" ht="15.75" customHeight="1">
      <c r="A374" s="46"/>
      <c r="B374" s="46"/>
      <c r="C374" s="46"/>
      <c r="D374" s="46"/>
      <c r="E374" s="47"/>
      <c r="F374" s="47"/>
      <c r="G374" s="47"/>
    </row>
    <row r="375" ht="15.75" customHeight="1">
      <c r="A375" s="46"/>
      <c r="B375" s="46"/>
      <c r="C375" s="46"/>
      <c r="D375" s="46"/>
      <c r="E375" s="47"/>
      <c r="F375" s="47"/>
      <c r="G375" s="47"/>
    </row>
    <row r="376" ht="15.75" customHeight="1">
      <c r="A376" s="46"/>
      <c r="B376" s="46"/>
      <c r="C376" s="46"/>
      <c r="D376" s="46"/>
      <c r="E376" s="47"/>
      <c r="F376" s="47"/>
      <c r="G376" s="47"/>
    </row>
    <row r="377" ht="15.75" customHeight="1">
      <c r="A377" s="46"/>
      <c r="B377" s="46"/>
      <c r="C377" s="46"/>
      <c r="D377" s="46"/>
      <c r="E377" s="47"/>
      <c r="F377" s="47"/>
      <c r="G377" s="47"/>
    </row>
    <row r="378" ht="15.75" customHeight="1">
      <c r="A378" s="46"/>
      <c r="B378" s="46"/>
      <c r="C378" s="46"/>
      <c r="D378" s="46"/>
      <c r="E378" s="47"/>
      <c r="F378" s="47"/>
      <c r="G378" s="47"/>
    </row>
    <row r="379" ht="15.75" customHeight="1">
      <c r="A379" s="46"/>
      <c r="B379" s="46"/>
      <c r="C379" s="46"/>
      <c r="D379" s="46"/>
      <c r="E379" s="47"/>
      <c r="F379" s="47"/>
      <c r="G379" s="47"/>
    </row>
    <row r="380" ht="15.75" customHeight="1">
      <c r="A380" s="46"/>
      <c r="B380" s="46"/>
      <c r="C380" s="46"/>
      <c r="D380" s="46"/>
      <c r="E380" s="47"/>
      <c r="F380" s="47"/>
      <c r="G380" s="47"/>
    </row>
    <row r="381" ht="15.75" customHeight="1">
      <c r="A381" s="46"/>
      <c r="B381" s="46"/>
      <c r="C381" s="46"/>
      <c r="D381" s="46"/>
      <c r="E381" s="47"/>
      <c r="F381" s="47"/>
      <c r="G381" s="47"/>
    </row>
    <row r="382" ht="15.75" customHeight="1">
      <c r="A382" s="46"/>
      <c r="B382" s="46"/>
      <c r="C382" s="46"/>
      <c r="D382" s="46"/>
      <c r="E382" s="47"/>
      <c r="F382" s="47"/>
      <c r="G382" s="47"/>
    </row>
    <row r="383" ht="15.75" customHeight="1">
      <c r="A383" s="46"/>
      <c r="B383" s="46"/>
      <c r="C383" s="46"/>
      <c r="D383" s="46"/>
      <c r="E383" s="47"/>
      <c r="F383" s="47"/>
      <c r="G383" s="47"/>
    </row>
    <row r="384" ht="15.75" customHeight="1">
      <c r="A384" s="46"/>
      <c r="B384" s="46"/>
      <c r="C384" s="46"/>
      <c r="D384" s="46"/>
      <c r="E384" s="47"/>
      <c r="F384" s="47"/>
      <c r="G384" s="47"/>
    </row>
    <row r="385" ht="15.75" customHeight="1">
      <c r="A385" s="46"/>
      <c r="B385" s="46"/>
      <c r="C385" s="46"/>
      <c r="D385" s="46"/>
      <c r="E385" s="47"/>
      <c r="F385" s="47"/>
      <c r="G385" s="47"/>
    </row>
    <row r="386" ht="15.75" customHeight="1">
      <c r="A386" s="46"/>
      <c r="B386" s="46"/>
      <c r="C386" s="46"/>
      <c r="D386" s="46"/>
      <c r="E386" s="47"/>
      <c r="F386" s="47"/>
      <c r="G386" s="47"/>
    </row>
    <row r="387" ht="15.75" customHeight="1">
      <c r="A387" s="46"/>
      <c r="B387" s="46"/>
      <c r="C387" s="46"/>
      <c r="D387" s="46"/>
      <c r="E387" s="47"/>
      <c r="F387" s="47"/>
      <c r="G387" s="47"/>
    </row>
    <row r="388" ht="15.75" customHeight="1">
      <c r="A388" s="46"/>
      <c r="B388" s="46"/>
      <c r="C388" s="46"/>
      <c r="D388" s="46"/>
      <c r="E388" s="47"/>
      <c r="F388" s="47"/>
      <c r="G388" s="47"/>
    </row>
    <row r="389" ht="15.75" customHeight="1">
      <c r="A389" s="46"/>
      <c r="B389" s="46"/>
      <c r="C389" s="46"/>
      <c r="D389" s="46"/>
      <c r="E389" s="47"/>
      <c r="F389" s="47"/>
      <c r="G389" s="47"/>
    </row>
    <row r="390" ht="15.75" customHeight="1">
      <c r="A390" s="46"/>
      <c r="B390" s="46"/>
      <c r="C390" s="46"/>
      <c r="D390" s="46"/>
      <c r="E390" s="47"/>
      <c r="F390" s="47"/>
      <c r="G390" s="47"/>
    </row>
    <row r="391" ht="15.75" customHeight="1">
      <c r="A391" s="46"/>
      <c r="B391" s="46"/>
      <c r="C391" s="46"/>
      <c r="D391" s="46"/>
      <c r="E391" s="47"/>
      <c r="F391" s="47"/>
      <c r="G391" s="47"/>
    </row>
    <row r="392" ht="15.75" customHeight="1">
      <c r="A392" s="46"/>
      <c r="B392" s="46"/>
      <c r="C392" s="46"/>
      <c r="D392" s="46"/>
      <c r="E392" s="47"/>
      <c r="F392" s="47"/>
      <c r="G392" s="47"/>
    </row>
    <row r="393" ht="15.75" customHeight="1">
      <c r="A393" s="46"/>
      <c r="B393" s="46"/>
      <c r="C393" s="46"/>
      <c r="D393" s="46"/>
      <c r="E393" s="47"/>
      <c r="F393" s="47"/>
      <c r="G393" s="47"/>
    </row>
    <row r="394" ht="15.75" customHeight="1">
      <c r="A394" s="46"/>
      <c r="B394" s="46"/>
      <c r="C394" s="46"/>
      <c r="D394" s="46"/>
      <c r="E394" s="47"/>
      <c r="F394" s="47"/>
      <c r="G394" s="47"/>
    </row>
    <row r="395" ht="15.75" customHeight="1">
      <c r="A395" s="46"/>
      <c r="B395" s="46"/>
      <c r="C395" s="46"/>
      <c r="D395" s="46"/>
      <c r="E395" s="47"/>
      <c r="F395" s="47"/>
      <c r="G395" s="47"/>
    </row>
    <row r="396" ht="15.75" customHeight="1">
      <c r="A396" s="46"/>
      <c r="B396" s="46"/>
      <c r="C396" s="46"/>
      <c r="D396" s="46"/>
      <c r="E396" s="47"/>
      <c r="F396" s="47"/>
      <c r="G396" s="47"/>
    </row>
    <row r="397" ht="15.75" customHeight="1">
      <c r="A397" s="46"/>
      <c r="B397" s="46"/>
      <c r="C397" s="46"/>
      <c r="D397" s="46"/>
      <c r="E397" s="47"/>
      <c r="F397" s="47"/>
      <c r="G397" s="47"/>
    </row>
    <row r="398" ht="15.75" customHeight="1">
      <c r="A398" s="46"/>
      <c r="B398" s="46"/>
      <c r="C398" s="46"/>
      <c r="D398" s="46"/>
      <c r="E398" s="47"/>
      <c r="F398" s="47"/>
      <c r="G398" s="47"/>
    </row>
    <row r="399" ht="15.75" customHeight="1">
      <c r="A399" s="46"/>
      <c r="B399" s="46"/>
      <c r="C399" s="46"/>
      <c r="D399" s="46"/>
      <c r="E399" s="47"/>
      <c r="F399" s="47"/>
      <c r="G399" s="47"/>
    </row>
    <row r="400" ht="15.75" customHeight="1">
      <c r="A400" s="46"/>
      <c r="B400" s="46"/>
      <c r="C400" s="46"/>
      <c r="D400" s="46"/>
      <c r="E400" s="47"/>
      <c r="F400" s="47"/>
      <c r="G400" s="47"/>
    </row>
    <row r="401" ht="15.75" customHeight="1">
      <c r="A401" s="46"/>
      <c r="B401" s="46"/>
      <c r="C401" s="46"/>
      <c r="D401" s="46"/>
      <c r="E401" s="47"/>
      <c r="F401" s="47"/>
      <c r="G401" s="47"/>
    </row>
    <row r="402" ht="15.75" customHeight="1">
      <c r="A402" s="46"/>
      <c r="B402" s="46"/>
      <c r="C402" s="46"/>
      <c r="D402" s="46"/>
      <c r="E402" s="47"/>
      <c r="F402" s="47"/>
      <c r="G402" s="47"/>
    </row>
    <row r="403" ht="15.75" customHeight="1">
      <c r="A403" s="46"/>
      <c r="B403" s="46"/>
      <c r="C403" s="46"/>
      <c r="D403" s="46"/>
      <c r="E403" s="47"/>
      <c r="F403" s="47"/>
      <c r="G403" s="47"/>
    </row>
    <row r="404" ht="15.75" customHeight="1">
      <c r="A404" s="46"/>
      <c r="B404" s="46"/>
      <c r="C404" s="46"/>
      <c r="D404" s="46"/>
      <c r="E404" s="47"/>
      <c r="F404" s="47"/>
      <c r="G404" s="47"/>
    </row>
    <row r="405" ht="15.75" customHeight="1">
      <c r="A405" s="46"/>
      <c r="B405" s="46"/>
      <c r="C405" s="46"/>
      <c r="D405" s="46"/>
      <c r="E405" s="47"/>
      <c r="F405" s="47"/>
      <c r="G405" s="47"/>
    </row>
    <row r="406" ht="15.75" customHeight="1">
      <c r="A406" s="46"/>
      <c r="B406" s="46"/>
      <c r="C406" s="46"/>
      <c r="D406" s="46"/>
      <c r="E406" s="47"/>
      <c r="F406" s="47"/>
      <c r="G406" s="47"/>
    </row>
    <row r="407" ht="15.75" customHeight="1">
      <c r="A407" s="46"/>
      <c r="B407" s="46"/>
      <c r="C407" s="46"/>
      <c r="D407" s="46"/>
      <c r="E407" s="47"/>
      <c r="F407" s="47"/>
      <c r="G407" s="47"/>
    </row>
    <row r="408" ht="15.75" customHeight="1">
      <c r="A408" s="46"/>
      <c r="B408" s="46"/>
      <c r="C408" s="46"/>
      <c r="D408" s="46"/>
      <c r="E408" s="47"/>
      <c r="F408" s="47"/>
      <c r="G408" s="47"/>
    </row>
    <row r="409" ht="15.75" customHeight="1">
      <c r="A409" s="46"/>
      <c r="B409" s="46"/>
      <c r="C409" s="46"/>
      <c r="D409" s="46"/>
      <c r="E409" s="47"/>
      <c r="F409" s="47"/>
      <c r="G409" s="47"/>
    </row>
    <row r="410" ht="15.75" customHeight="1">
      <c r="A410" s="46"/>
      <c r="B410" s="46"/>
      <c r="C410" s="46"/>
      <c r="D410" s="46"/>
      <c r="E410" s="47"/>
      <c r="F410" s="47"/>
      <c r="G410" s="47"/>
    </row>
    <row r="411" ht="15.75" customHeight="1">
      <c r="A411" s="46"/>
      <c r="B411" s="46"/>
      <c r="C411" s="46"/>
      <c r="D411" s="46"/>
      <c r="E411" s="47"/>
      <c r="F411" s="47"/>
      <c r="G411" s="47"/>
    </row>
    <row r="412" ht="15.75" customHeight="1">
      <c r="A412" s="46"/>
      <c r="B412" s="46"/>
      <c r="C412" s="46"/>
      <c r="D412" s="46"/>
      <c r="E412" s="47"/>
      <c r="F412" s="47"/>
      <c r="G412" s="47"/>
    </row>
    <row r="413" ht="15.75" customHeight="1">
      <c r="A413" s="46"/>
      <c r="B413" s="46"/>
      <c r="C413" s="46"/>
      <c r="D413" s="46"/>
      <c r="E413" s="47"/>
      <c r="F413" s="47"/>
      <c r="G413" s="47"/>
    </row>
    <row r="414" ht="15.75" customHeight="1">
      <c r="A414" s="46"/>
      <c r="B414" s="46"/>
      <c r="C414" s="46"/>
      <c r="D414" s="46"/>
      <c r="E414" s="47"/>
      <c r="F414" s="47"/>
      <c r="G414" s="47"/>
    </row>
    <row r="415" ht="15.75" customHeight="1">
      <c r="A415" s="46"/>
      <c r="B415" s="46"/>
      <c r="C415" s="46"/>
      <c r="D415" s="46"/>
      <c r="E415" s="47"/>
      <c r="F415" s="47"/>
      <c r="G415" s="47"/>
    </row>
    <row r="416" ht="15.75" customHeight="1">
      <c r="A416" s="46"/>
      <c r="B416" s="46"/>
      <c r="C416" s="46"/>
      <c r="D416" s="46"/>
      <c r="E416" s="47"/>
      <c r="F416" s="47"/>
      <c r="G416" s="47"/>
    </row>
    <row r="417" ht="15.75" customHeight="1">
      <c r="A417" s="46"/>
      <c r="B417" s="46"/>
      <c r="C417" s="46"/>
      <c r="D417" s="46"/>
      <c r="E417" s="47"/>
      <c r="F417" s="47"/>
      <c r="G417" s="47"/>
    </row>
    <row r="418" ht="15.75" customHeight="1">
      <c r="A418" s="46"/>
      <c r="B418" s="46"/>
      <c r="C418" s="46"/>
      <c r="D418" s="46"/>
      <c r="E418" s="47"/>
      <c r="F418" s="47"/>
      <c r="G418" s="47"/>
    </row>
    <row r="419" ht="15.75" customHeight="1">
      <c r="A419" s="46"/>
      <c r="B419" s="46"/>
      <c r="C419" s="46"/>
      <c r="D419" s="46"/>
      <c r="E419" s="47"/>
      <c r="F419" s="47"/>
      <c r="G419" s="47"/>
    </row>
    <row r="420" ht="15.75" customHeight="1">
      <c r="A420" s="46"/>
      <c r="B420" s="46"/>
      <c r="C420" s="46"/>
      <c r="D420" s="46"/>
      <c r="E420" s="47"/>
      <c r="F420" s="47"/>
      <c r="G420" s="47"/>
    </row>
    <row r="421" ht="15.75" customHeight="1">
      <c r="A421" s="46"/>
      <c r="B421" s="46"/>
      <c r="C421" s="46"/>
      <c r="D421" s="46"/>
      <c r="E421" s="47"/>
      <c r="F421" s="47"/>
      <c r="G421" s="47"/>
    </row>
    <row r="422" ht="15.75" customHeight="1">
      <c r="A422" s="46"/>
      <c r="B422" s="46"/>
      <c r="C422" s="46"/>
      <c r="D422" s="46"/>
      <c r="E422" s="47"/>
      <c r="F422" s="47"/>
      <c r="G422" s="47"/>
    </row>
    <row r="423" ht="15.75" customHeight="1">
      <c r="A423" s="46"/>
      <c r="B423" s="46"/>
      <c r="C423" s="46"/>
      <c r="D423" s="46"/>
      <c r="E423" s="47"/>
      <c r="F423" s="47"/>
      <c r="G423" s="47"/>
    </row>
    <row r="424" ht="15.75" customHeight="1">
      <c r="A424" s="46"/>
      <c r="B424" s="46"/>
      <c r="C424" s="46"/>
      <c r="D424" s="46"/>
      <c r="E424" s="47"/>
      <c r="F424" s="47"/>
      <c r="G424" s="47"/>
    </row>
    <row r="425" ht="15.75" customHeight="1">
      <c r="A425" s="46"/>
      <c r="B425" s="46"/>
      <c r="C425" s="46"/>
      <c r="D425" s="46"/>
      <c r="E425" s="47"/>
      <c r="F425" s="47"/>
      <c r="G425" s="47"/>
    </row>
    <row r="426" ht="15.75" customHeight="1">
      <c r="A426" s="46"/>
      <c r="B426" s="46"/>
      <c r="C426" s="46"/>
      <c r="D426" s="46"/>
      <c r="E426" s="47"/>
      <c r="F426" s="47"/>
      <c r="G426" s="47"/>
    </row>
    <row r="427" ht="15.75" customHeight="1">
      <c r="A427" s="46"/>
      <c r="B427" s="46"/>
      <c r="C427" s="46"/>
      <c r="D427" s="46"/>
      <c r="E427" s="47"/>
      <c r="F427" s="47"/>
      <c r="G427" s="47"/>
    </row>
    <row r="428" ht="15.75" customHeight="1">
      <c r="A428" s="46"/>
      <c r="B428" s="46"/>
      <c r="C428" s="46"/>
      <c r="D428" s="46"/>
      <c r="E428" s="47"/>
      <c r="F428" s="47"/>
      <c r="G428" s="47"/>
    </row>
    <row r="429" ht="15.75" customHeight="1">
      <c r="A429" s="46"/>
      <c r="B429" s="46"/>
      <c r="C429" s="46"/>
      <c r="D429" s="46"/>
      <c r="E429" s="47"/>
      <c r="F429" s="47"/>
      <c r="G429" s="47"/>
    </row>
    <row r="430" ht="15.75" customHeight="1">
      <c r="A430" s="46"/>
      <c r="B430" s="46"/>
      <c r="C430" s="46"/>
      <c r="D430" s="46"/>
      <c r="E430" s="47"/>
      <c r="F430" s="47"/>
      <c r="G430" s="47"/>
    </row>
    <row r="431" ht="15.75" customHeight="1">
      <c r="A431" s="46"/>
      <c r="B431" s="46"/>
      <c r="C431" s="46"/>
      <c r="D431" s="46"/>
      <c r="E431" s="47"/>
      <c r="F431" s="47"/>
      <c r="G431" s="47"/>
    </row>
    <row r="432" ht="15.75" customHeight="1">
      <c r="A432" s="46"/>
      <c r="B432" s="46"/>
      <c r="C432" s="46"/>
      <c r="D432" s="46"/>
      <c r="E432" s="47"/>
      <c r="F432" s="47"/>
      <c r="G432" s="47"/>
    </row>
    <row r="433" ht="15.75" customHeight="1">
      <c r="A433" s="46"/>
      <c r="B433" s="46"/>
      <c r="C433" s="46"/>
      <c r="D433" s="46"/>
      <c r="E433" s="47"/>
      <c r="F433" s="47"/>
      <c r="G433" s="47"/>
    </row>
    <row r="434" ht="15.75" customHeight="1">
      <c r="A434" s="46"/>
      <c r="B434" s="46"/>
      <c r="C434" s="46"/>
      <c r="D434" s="46"/>
      <c r="E434" s="47"/>
      <c r="F434" s="47"/>
      <c r="G434" s="47"/>
    </row>
    <row r="435" ht="15.75" customHeight="1">
      <c r="A435" s="46"/>
      <c r="B435" s="46"/>
      <c r="C435" s="46"/>
      <c r="D435" s="46"/>
      <c r="E435" s="47"/>
      <c r="F435" s="47"/>
      <c r="G435" s="47"/>
    </row>
    <row r="436" ht="15.75" customHeight="1">
      <c r="A436" s="46"/>
      <c r="B436" s="46"/>
      <c r="C436" s="46"/>
      <c r="D436" s="46"/>
      <c r="E436" s="47"/>
      <c r="F436" s="47"/>
      <c r="G436" s="47"/>
    </row>
    <row r="437" ht="15.75" customHeight="1">
      <c r="A437" s="46"/>
      <c r="B437" s="46"/>
      <c r="C437" s="46"/>
      <c r="D437" s="46"/>
      <c r="E437" s="47"/>
      <c r="F437" s="47"/>
      <c r="G437" s="47"/>
    </row>
    <row r="438" ht="15.75" customHeight="1">
      <c r="A438" s="46"/>
      <c r="B438" s="46"/>
      <c r="C438" s="46"/>
      <c r="D438" s="46"/>
      <c r="E438" s="47"/>
      <c r="F438" s="47"/>
      <c r="G438" s="47"/>
    </row>
    <row r="439" ht="15.75" customHeight="1">
      <c r="A439" s="46"/>
      <c r="B439" s="46"/>
      <c r="C439" s="46"/>
      <c r="D439" s="46"/>
      <c r="E439" s="47"/>
      <c r="F439" s="47"/>
      <c r="G439" s="47"/>
    </row>
    <row r="440" ht="15.75" customHeight="1">
      <c r="A440" s="46"/>
      <c r="B440" s="46"/>
      <c r="C440" s="46"/>
      <c r="D440" s="46"/>
      <c r="E440" s="47"/>
      <c r="F440" s="47"/>
      <c r="G440" s="47"/>
    </row>
    <row r="441" ht="15.75" customHeight="1">
      <c r="A441" s="46"/>
      <c r="B441" s="46"/>
      <c r="C441" s="46"/>
      <c r="D441" s="46"/>
      <c r="E441" s="47"/>
      <c r="F441" s="47"/>
      <c r="G441" s="47"/>
    </row>
    <row r="442" ht="15.75" customHeight="1">
      <c r="A442" s="46"/>
      <c r="B442" s="46"/>
      <c r="C442" s="46"/>
      <c r="D442" s="46"/>
      <c r="E442" s="47"/>
      <c r="F442" s="47"/>
      <c r="G442" s="47"/>
    </row>
    <row r="443" ht="15.75" customHeight="1">
      <c r="A443" s="46"/>
      <c r="B443" s="46"/>
      <c r="C443" s="46"/>
      <c r="D443" s="46"/>
      <c r="E443" s="47"/>
      <c r="F443" s="47"/>
      <c r="G443" s="47"/>
    </row>
    <row r="444" ht="15.75" customHeight="1">
      <c r="A444" s="46"/>
      <c r="B444" s="46"/>
      <c r="C444" s="46"/>
      <c r="D444" s="46"/>
      <c r="E444" s="47"/>
      <c r="F444" s="47"/>
      <c r="G444" s="47"/>
    </row>
    <row r="445" ht="15.75" customHeight="1">
      <c r="A445" s="46"/>
      <c r="B445" s="46"/>
      <c r="C445" s="46"/>
      <c r="D445" s="46"/>
      <c r="E445" s="47"/>
      <c r="F445" s="47"/>
      <c r="G445" s="47"/>
    </row>
    <row r="446" ht="15.75" customHeight="1">
      <c r="A446" s="46"/>
      <c r="B446" s="46"/>
      <c r="C446" s="46"/>
      <c r="D446" s="46"/>
      <c r="E446" s="47"/>
      <c r="F446" s="47"/>
      <c r="G446" s="47"/>
    </row>
    <row r="447" ht="15.75" customHeight="1">
      <c r="A447" s="46"/>
      <c r="B447" s="46"/>
      <c r="C447" s="46"/>
      <c r="D447" s="46"/>
      <c r="E447" s="47"/>
      <c r="F447" s="47"/>
      <c r="G447" s="47"/>
    </row>
    <row r="448" ht="15.75" customHeight="1">
      <c r="A448" s="46"/>
      <c r="B448" s="46"/>
      <c r="C448" s="46"/>
      <c r="D448" s="46"/>
      <c r="E448" s="47"/>
      <c r="F448" s="47"/>
      <c r="G448" s="47"/>
    </row>
    <row r="449" ht="15.75" customHeight="1">
      <c r="A449" s="46"/>
      <c r="B449" s="46"/>
      <c r="C449" s="46"/>
      <c r="D449" s="46"/>
      <c r="E449" s="47"/>
      <c r="F449" s="47"/>
      <c r="G449" s="47"/>
    </row>
    <row r="450" ht="15.75" customHeight="1">
      <c r="A450" s="46"/>
      <c r="B450" s="46"/>
      <c r="C450" s="46"/>
      <c r="D450" s="46"/>
      <c r="E450" s="47"/>
      <c r="F450" s="47"/>
      <c r="G450" s="47"/>
    </row>
    <row r="451" ht="15.75" customHeight="1">
      <c r="A451" s="46"/>
      <c r="B451" s="46"/>
      <c r="C451" s="46"/>
      <c r="D451" s="46"/>
      <c r="E451" s="47"/>
      <c r="F451" s="47"/>
      <c r="G451" s="47"/>
    </row>
    <row r="452" ht="15.75" customHeight="1">
      <c r="A452" s="46"/>
      <c r="B452" s="46"/>
      <c r="C452" s="46"/>
      <c r="D452" s="46"/>
      <c r="E452" s="47"/>
      <c r="F452" s="47"/>
      <c r="G452" s="47"/>
    </row>
    <row r="453" ht="15.75" customHeight="1">
      <c r="A453" s="46"/>
      <c r="B453" s="46"/>
      <c r="C453" s="46"/>
      <c r="D453" s="46"/>
      <c r="E453" s="47"/>
      <c r="F453" s="47"/>
      <c r="G453" s="47"/>
    </row>
    <row r="454" ht="15.75" customHeight="1">
      <c r="A454" s="46"/>
      <c r="B454" s="46"/>
      <c r="C454" s="46"/>
      <c r="D454" s="46"/>
      <c r="E454" s="47"/>
      <c r="F454" s="47"/>
      <c r="G454" s="47"/>
    </row>
    <row r="455" ht="15.75" customHeight="1">
      <c r="A455" s="46"/>
      <c r="B455" s="46"/>
      <c r="C455" s="46"/>
      <c r="D455" s="46"/>
      <c r="E455" s="47"/>
      <c r="F455" s="47"/>
      <c r="G455" s="47"/>
    </row>
    <row r="456" ht="15.75" customHeight="1">
      <c r="A456" s="46"/>
      <c r="B456" s="46"/>
      <c r="C456" s="46"/>
      <c r="D456" s="46"/>
      <c r="E456" s="47"/>
      <c r="F456" s="47"/>
      <c r="G456" s="47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G247">
    <cfRule type="cellIs" dxfId="7" priority="1" operator="lessThanOrEqual">
      <formula>1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7.5"/>
    <col customWidth="1" min="3" max="4" width="11.25"/>
    <col customWidth="1" min="5" max="5" width="7.13"/>
    <col customWidth="1" min="6" max="6" width="5.25"/>
    <col customWidth="1" min="7" max="7" width="25.75"/>
    <col customWidth="1" min="8" max="8" width="3.63"/>
    <col customWidth="1" min="9" max="11" width="11.25"/>
    <col customWidth="1" min="12" max="12" width="7.38"/>
    <col customWidth="1" min="13" max="13" width="8.5"/>
  </cols>
  <sheetData>
    <row r="1" ht="15.75" customHeight="1">
      <c r="A1" s="1"/>
      <c r="B1" s="2"/>
      <c r="C1" s="4"/>
      <c r="D1" s="1"/>
      <c r="E1" s="1"/>
      <c r="F1" s="1"/>
      <c r="G1" s="1"/>
      <c r="H1" s="4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8" t="s">
        <v>1222</v>
      </c>
      <c r="B2" s="59"/>
      <c r="C2" s="60"/>
      <c r="D2" s="1"/>
      <c r="E2" s="1"/>
      <c r="F2" s="1"/>
      <c r="G2" s="1"/>
      <c r="H2" s="4"/>
      <c r="I2" s="2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4"/>
      <c r="D3" s="1"/>
      <c r="E3" s="1"/>
      <c r="F3" s="1"/>
      <c r="G3" s="1"/>
      <c r="H3" s="4"/>
      <c r="I3" s="2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1" t="s">
        <v>1</v>
      </c>
      <c r="B4" s="62" t="s">
        <v>2</v>
      </c>
      <c r="C4" s="61" t="s">
        <v>1223</v>
      </c>
      <c r="D4" s="61" t="s">
        <v>1224</v>
      </c>
      <c r="E4" s="61" t="s">
        <v>4</v>
      </c>
      <c r="F4" s="63" t="s">
        <v>1225</v>
      </c>
      <c r="G4" s="63" t="s">
        <v>7</v>
      </c>
      <c r="H4" s="61" t="s">
        <v>8</v>
      </c>
      <c r="I4" s="64" t="s">
        <v>9</v>
      </c>
      <c r="J4" s="65" t="s">
        <v>10</v>
      </c>
      <c r="K4" s="65" t="s">
        <v>11</v>
      </c>
      <c r="L4" s="61" t="s">
        <v>14</v>
      </c>
      <c r="M4" s="61" t="s">
        <v>1226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1227</v>
      </c>
      <c r="B5" s="66" t="s">
        <v>1228</v>
      </c>
      <c r="C5" s="4"/>
      <c r="D5" s="4"/>
      <c r="E5" s="1"/>
      <c r="F5" s="1" t="str">
        <f t="shared" ref="F5:F67" si="1">A5&amp;E5</f>
        <v>01/10/24</v>
      </c>
      <c r="G5" s="1" t="str">
        <f>_xludf.IFNA(VLOOKUP(E5,Master!D:J,4,0),"")</f>
        <v>#NAME?</v>
      </c>
      <c r="H5" s="4"/>
      <c r="I5" s="25">
        <v>0.0</v>
      </c>
      <c r="J5" s="5">
        <v>0.0</v>
      </c>
      <c r="K5" s="5">
        <f t="shared" ref="K5:K67" si="2">I5*H5-J5</f>
        <v>0</v>
      </c>
      <c r="L5" s="4" t="s">
        <v>19</v>
      </c>
      <c r="M5" s="1" t="s">
        <v>1229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1230</v>
      </c>
      <c r="B6" s="66" t="s">
        <v>1231</v>
      </c>
      <c r="C6" s="4">
        <v>14107.0</v>
      </c>
      <c r="D6" s="4" t="s">
        <v>451</v>
      </c>
      <c r="E6" s="1" t="s">
        <v>1216</v>
      </c>
      <c r="F6" s="1" t="str">
        <f t="shared" si="1"/>
        <v>03/10/24PK1045</v>
      </c>
      <c r="G6" s="1" t="str">
        <f>_xludf.IFNA(VLOOKUP(E6,Master!D:J,4,0),"")</f>
        <v>#NAME?</v>
      </c>
      <c r="H6" s="4">
        <v>1.0</v>
      </c>
      <c r="I6" s="25">
        <v>30000.0</v>
      </c>
      <c r="J6" s="5">
        <v>0.0</v>
      </c>
      <c r="K6" s="5">
        <f t="shared" si="2"/>
        <v>30000</v>
      </c>
      <c r="L6" s="4" t="s">
        <v>19</v>
      </c>
      <c r="M6" s="1" t="s">
        <v>1229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1230</v>
      </c>
      <c r="B7" s="66" t="s">
        <v>1231</v>
      </c>
      <c r="C7" s="4">
        <v>14574.0</v>
      </c>
      <c r="D7" s="4" t="s">
        <v>451</v>
      </c>
      <c r="E7" s="1" t="s">
        <v>1182</v>
      </c>
      <c r="F7" s="1" t="str">
        <f t="shared" si="1"/>
        <v>03/10/24PK1011</v>
      </c>
      <c r="G7" s="1" t="str">
        <f>_xludf.IFNA(VLOOKUP(E7,Master!D:J,4,0),"")</f>
        <v>#NAME?</v>
      </c>
      <c r="H7" s="4">
        <v>3.0</v>
      </c>
      <c r="I7" s="25">
        <v>74000.0</v>
      </c>
      <c r="J7" s="5">
        <v>0.0</v>
      </c>
      <c r="K7" s="5">
        <f t="shared" si="2"/>
        <v>222000</v>
      </c>
      <c r="L7" s="4" t="s">
        <v>19</v>
      </c>
      <c r="M7" s="1" t="s">
        <v>1229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1232</v>
      </c>
      <c r="B8" s="66" t="s">
        <v>1233</v>
      </c>
      <c r="C8" s="4">
        <v>14687.0</v>
      </c>
      <c r="D8" s="4" t="s">
        <v>451</v>
      </c>
      <c r="E8" s="1" t="s">
        <v>1168</v>
      </c>
      <c r="F8" s="1" t="str">
        <f t="shared" si="1"/>
        <v>04/10/24PS3009</v>
      </c>
      <c r="G8" s="1" t="str">
        <f>_xludf.IFNA(VLOOKUP(E8,Master!D:J,4,0),"")</f>
        <v>#NAME?</v>
      </c>
      <c r="H8" s="4">
        <v>1.0</v>
      </c>
      <c r="I8" s="25">
        <v>68000.0</v>
      </c>
      <c r="J8" s="5">
        <v>0.0</v>
      </c>
      <c r="K8" s="5">
        <f t="shared" si="2"/>
        <v>68000</v>
      </c>
      <c r="L8" s="4" t="s">
        <v>19</v>
      </c>
      <c r="M8" s="1" t="s">
        <v>1229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1232</v>
      </c>
      <c r="B9" s="66" t="s">
        <v>1233</v>
      </c>
      <c r="C9" s="4">
        <v>14687.0</v>
      </c>
      <c r="D9" s="4" t="s">
        <v>451</v>
      </c>
      <c r="E9" s="1" t="s">
        <v>500</v>
      </c>
      <c r="F9" s="1" t="str">
        <f t="shared" si="1"/>
        <v>04/10/24PL3015</v>
      </c>
      <c r="G9" s="1" t="str">
        <f>_xludf.IFNA(VLOOKUP(E9,Master!D:J,4,0),"")</f>
        <v>#NAME?</v>
      </c>
      <c r="H9" s="4">
        <v>1.0</v>
      </c>
      <c r="I9" s="25">
        <v>85000.0</v>
      </c>
      <c r="J9" s="5">
        <v>0.0</v>
      </c>
      <c r="K9" s="5">
        <f t="shared" si="2"/>
        <v>85000</v>
      </c>
      <c r="L9" s="4" t="s">
        <v>19</v>
      </c>
      <c r="M9" s="1" t="s">
        <v>1229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1232</v>
      </c>
      <c r="B10" s="66" t="s">
        <v>1233</v>
      </c>
      <c r="C10" s="4">
        <v>14687.0</v>
      </c>
      <c r="D10" s="4" t="s">
        <v>451</v>
      </c>
      <c r="E10" s="1" t="s">
        <v>504</v>
      </c>
      <c r="F10" s="1" t="str">
        <f t="shared" si="1"/>
        <v>04/10/24PL3017</v>
      </c>
      <c r="G10" s="1" t="str">
        <f>_xludf.IFNA(VLOOKUP(E10,Master!D:J,4,0),"")</f>
        <v>#NAME?</v>
      </c>
      <c r="H10" s="4">
        <v>1.0</v>
      </c>
      <c r="I10" s="25">
        <v>85000.0</v>
      </c>
      <c r="J10" s="5">
        <v>0.0</v>
      </c>
      <c r="K10" s="5">
        <f t="shared" si="2"/>
        <v>85000</v>
      </c>
      <c r="L10" s="4" t="s">
        <v>19</v>
      </c>
      <c r="M10" s="1" t="s">
        <v>1229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1232</v>
      </c>
      <c r="B11" s="66" t="s">
        <v>1233</v>
      </c>
      <c r="C11" s="4">
        <v>14687.0</v>
      </c>
      <c r="D11" s="4" t="s">
        <v>451</v>
      </c>
      <c r="E11" s="1" t="s">
        <v>512</v>
      </c>
      <c r="F11" s="1" t="str">
        <f t="shared" si="1"/>
        <v>04/10/24PL3021</v>
      </c>
      <c r="G11" s="1" t="str">
        <f>_xludf.IFNA(VLOOKUP(E11,Master!D:J,4,0),"")</f>
        <v>#NAME?</v>
      </c>
      <c r="H11" s="4">
        <v>1.0</v>
      </c>
      <c r="I11" s="25">
        <v>85000.0</v>
      </c>
      <c r="J11" s="5">
        <v>0.0</v>
      </c>
      <c r="K11" s="5">
        <f t="shared" si="2"/>
        <v>85000</v>
      </c>
      <c r="L11" s="4" t="s">
        <v>19</v>
      </c>
      <c r="M11" s="1" t="s">
        <v>1229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1232</v>
      </c>
      <c r="B12" s="66" t="s">
        <v>1233</v>
      </c>
      <c r="C12" s="4">
        <v>14687.0</v>
      </c>
      <c r="D12" s="4" t="s">
        <v>451</v>
      </c>
      <c r="E12" s="1" t="s">
        <v>515</v>
      </c>
      <c r="F12" s="1" t="str">
        <f t="shared" si="1"/>
        <v>04/10/24PL3023</v>
      </c>
      <c r="G12" s="1" t="str">
        <f>_xludf.IFNA(VLOOKUP(E12,Master!D:J,4,0),"")</f>
        <v>#NAME?</v>
      </c>
      <c r="H12" s="4">
        <v>2.0</v>
      </c>
      <c r="I12" s="25">
        <v>85000.0</v>
      </c>
      <c r="J12" s="5">
        <v>0.0</v>
      </c>
      <c r="K12" s="5">
        <f t="shared" si="2"/>
        <v>170000</v>
      </c>
      <c r="L12" s="4" t="s">
        <v>19</v>
      </c>
      <c r="M12" s="1" t="s">
        <v>1229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1232</v>
      </c>
      <c r="B13" s="66" t="s">
        <v>1233</v>
      </c>
      <c r="C13" s="4">
        <v>14687.0</v>
      </c>
      <c r="D13" s="4" t="s">
        <v>451</v>
      </c>
      <c r="E13" s="1" t="s">
        <v>1170</v>
      </c>
      <c r="F13" s="1" t="str">
        <f t="shared" si="1"/>
        <v>04/10/24PS3011</v>
      </c>
      <c r="G13" s="1" t="str">
        <f>_xludf.IFNA(VLOOKUP(E13,Master!D:J,4,0),"")</f>
        <v>#NAME?</v>
      </c>
      <c r="H13" s="4">
        <v>1.0</v>
      </c>
      <c r="I13" s="25">
        <v>105000.0</v>
      </c>
      <c r="J13" s="5">
        <v>0.0</v>
      </c>
      <c r="K13" s="5">
        <f t="shared" si="2"/>
        <v>105000</v>
      </c>
      <c r="L13" s="4" t="s">
        <v>19</v>
      </c>
      <c r="M13" s="1" t="s">
        <v>1229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1232</v>
      </c>
      <c r="B14" s="66" t="s">
        <v>1233</v>
      </c>
      <c r="C14" s="4">
        <v>17193.0</v>
      </c>
      <c r="D14" s="4" t="s">
        <v>451</v>
      </c>
      <c r="E14" s="1" t="s">
        <v>1090</v>
      </c>
      <c r="F14" s="1" t="str">
        <f t="shared" si="1"/>
        <v>04/10/24PL4022</v>
      </c>
      <c r="G14" s="1" t="str">
        <f>_xludf.IFNA(VLOOKUP(E14,Master!D:J,4,0),"")</f>
        <v>#NAME?</v>
      </c>
      <c r="H14" s="4">
        <v>2.0</v>
      </c>
      <c r="I14" s="25">
        <v>29000.0</v>
      </c>
      <c r="J14" s="5">
        <v>0.0</v>
      </c>
      <c r="K14" s="5">
        <f t="shared" si="2"/>
        <v>58000</v>
      </c>
      <c r="L14" s="4" t="s">
        <v>19</v>
      </c>
      <c r="M14" s="1" t="s">
        <v>1229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1232</v>
      </c>
      <c r="B15" s="66" t="s">
        <v>1233</v>
      </c>
      <c r="C15" s="4">
        <v>17193.0</v>
      </c>
      <c r="D15" s="4" t="s">
        <v>451</v>
      </c>
      <c r="E15" s="1" t="s">
        <v>1091</v>
      </c>
      <c r="F15" s="1" t="str">
        <f t="shared" si="1"/>
        <v>04/10/24PL4023</v>
      </c>
      <c r="G15" s="1" t="str">
        <f>_xludf.IFNA(VLOOKUP(E15,Master!D:J,4,0),"")</f>
        <v>#NAME?</v>
      </c>
      <c r="H15" s="4">
        <v>2.0</v>
      </c>
      <c r="I15" s="25">
        <v>33000.0</v>
      </c>
      <c r="J15" s="5">
        <v>0.0</v>
      </c>
      <c r="K15" s="5">
        <f t="shared" si="2"/>
        <v>66000</v>
      </c>
      <c r="L15" s="4" t="s">
        <v>19</v>
      </c>
      <c r="M15" s="1" t="s">
        <v>1229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1232</v>
      </c>
      <c r="B16" s="66" t="s">
        <v>1233</v>
      </c>
      <c r="C16" s="4">
        <v>17193.0</v>
      </c>
      <c r="D16" s="4" t="s">
        <v>451</v>
      </c>
      <c r="E16" s="1" t="s">
        <v>1199</v>
      </c>
      <c r="F16" s="1" t="str">
        <f t="shared" si="1"/>
        <v>04/10/24PK1028</v>
      </c>
      <c r="G16" s="1" t="str">
        <f>_xludf.IFNA(VLOOKUP(E16,Master!D:J,4,0),"")</f>
        <v>#NAME?</v>
      </c>
      <c r="H16" s="4">
        <v>7.0</v>
      </c>
      <c r="I16" s="25">
        <v>19000.0</v>
      </c>
      <c r="J16" s="5">
        <v>0.0</v>
      </c>
      <c r="K16" s="5">
        <f t="shared" si="2"/>
        <v>133000</v>
      </c>
      <c r="L16" s="4" t="s">
        <v>19</v>
      </c>
      <c r="M16" s="1" t="s">
        <v>1229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1232</v>
      </c>
      <c r="B17" s="66" t="s">
        <v>1233</v>
      </c>
      <c r="C17" s="4">
        <v>17193.0</v>
      </c>
      <c r="D17" s="4" t="s">
        <v>451</v>
      </c>
      <c r="E17" s="1" t="s">
        <v>1185</v>
      </c>
      <c r="F17" s="1" t="str">
        <f t="shared" si="1"/>
        <v>04/10/24PK1014</v>
      </c>
      <c r="G17" s="1" t="str">
        <f>_xludf.IFNA(VLOOKUP(E17,Master!D:J,4,0),"")</f>
        <v>#NAME?</v>
      </c>
      <c r="H17" s="4">
        <v>3.0</v>
      </c>
      <c r="I17" s="25">
        <v>12000.0</v>
      </c>
      <c r="J17" s="5">
        <v>0.0</v>
      </c>
      <c r="K17" s="5">
        <f t="shared" si="2"/>
        <v>36000</v>
      </c>
      <c r="L17" s="4" t="s">
        <v>19</v>
      </c>
      <c r="M17" s="1" t="s">
        <v>1229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1232</v>
      </c>
      <c r="B18" s="66" t="s">
        <v>1233</v>
      </c>
      <c r="C18" s="4">
        <v>17193.0</v>
      </c>
      <c r="D18" s="4" t="s">
        <v>451</v>
      </c>
      <c r="E18" s="1" t="s">
        <v>1219</v>
      </c>
      <c r="F18" s="1" t="str">
        <f t="shared" si="1"/>
        <v>04/10/24PK1048</v>
      </c>
      <c r="G18" s="1" t="str">
        <f>_xludf.IFNA(VLOOKUP(E18,Master!D:J,4,0),"")</f>
        <v>#NAME?</v>
      </c>
      <c r="H18" s="4">
        <v>2.0</v>
      </c>
      <c r="I18" s="25">
        <v>12000.0</v>
      </c>
      <c r="J18" s="5">
        <v>0.0</v>
      </c>
      <c r="K18" s="5">
        <f t="shared" si="2"/>
        <v>24000</v>
      </c>
      <c r="L18" s="4" t="s">
        <v>19</v>
      </c>
      <c r="M18" s="1" t="s">
        <v>1229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1232</v>
      </c>
      <c r="B19" s="66" t="s">
        <v>1233</v>
      </c>
      <c r="C19" s="4">
        <v>17193.0</v>
      </c>
      <c r="D19" s="4" t="s">
        <v>451</v>
      </c>
      <c r="E19" s="1" t="s">
        <v>1184</v>
      </c>
      <c r="F19" s="1" t="str">
        <f t="shared" si="1"/>
        <v>04/10/24PK1013</v>
      </c>
      <c r="G19" s="1" t="str">
        <f>_xludf.IFNA(VLOOKUP(E19,Master!D:J,4,0),"")</f>
        <v>#NAME?</v>
      </c>
      <c r="H19" s="4">
        <v>1.0</v>
      </c>
      <c r="I19" s="25">
        <v>24000.0</v>
      </c>
      <c r="J19" s="5">
        <v>0.0</v>
      </c>
      <c r="K19" s="5">
        <f t="shared" si="2"/>
        <v>24000</v>
      </c>
      <c r="L19" s="4" t="s">
        <v>19</v>
      </c>
      <c r="M19" s="1" t="s">
        <v>1229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1232</v>
      </c>
      <c r="B20" s="66" t="s">
        <v>1233</v>
      </c>
      <c r="C20" s="4">
        <v>17193.0</v>
      </c>
      <c r="D20" s="4" t="s">
        <v>451</v>
      </c>
      <c r="E20" s="1" t="s">
        <v>1129</v>
      </c>
      <c r="F20" s="1" t="str">
        <f t="shared" si="1"/>
        <v>04/10/24PL6010</v>
      </c>
      <c r="G20" s="1" t="str">
        <f>_xludf.IFNA(VLOOKUP(E20,Master!D:J,4,0),"")</f>
        <v>#NAME?</v>
      </c>
      <c r="H20" s="4">
        <v>24.0</v>
      </c>
      <c r="I20" s="25">
        <f>27000/12</f>
        <v>2250</v>
      </c>
      <c r="J20" s="5">
        <v>0.0</v>
      </c>
      <c r="K20" s="5">
        <f t="shared" si="2"/>
        <v>54000</v>
      </c>
      <c r="L20" s="4" t="s">
        <v>19</v>
      </c>
      <c r="M20" s="1" t="s">
        <v>1229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1232</v>
      </c>
      <c r="B21" s="66" t="s">
        <v>1233</v>
      </c>
      <c r="C21" s="4">
        <v>17193.0</v>
      </c>
      <c r="D21" s="4" t="s">
        <v>451</v>
      </c>
      <c r="E21" s="1" t="s">
        <v>1209</v>
      </c>
      <c r="F21" s="1" t="str">
        <f t="shared" si="1"/>
        <v>04/10/24PK1038</v>
      </c>
      <c r="G21" s="1" t="str">
        <f>_xludf.IFNA(VLOOKUP(E21,Master!D:J,4,0),"")</f>
        <v>#NAME?</v>
      </c>
      <c r="H21" s="4">
        <v>4.0</v>
      </c>
      <c r="I21" s="25">
        <v>6000.0</v>
      </c>
      <c r="J21" s="5">
        <v>0.0</v>
      </c>
      <c r="K21" s="5">
        <f t="shared" si="2"/>
        <v>24000</v>
      </c>
      <c r="L21" s="4" t="s">
        <v>19</v>
      </c>
      <c r="M21" s="1" t="s">
        <v>1229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1232</v>
      </c>
      <c r="B22" s="66" t="s">
        <v>1233</v>
      </c>
      <c r="C22" s="4">
        <v>17193.0</v>
      </c>
      <c r="D22" s="4" t="s">
        <v>451</v>
      </c>
      <c r="E22" s="1" t="s">
        <v>1017</v>
      </c>
      <c r="F22" s="1" t="str">
        <f t="shared" si="1"/>
        <v>04/10/24MT1004</v>
      </c>
      <c r="G22" s="1" t="str">
        <f>_xludf.IFNA(VLOOKUP(E22,Master!D:J,4,0),"")</f>
        <v>#NAME?</v>
      </c>
      <c r="H22" s="4">
        <v>5.0</v>
      </c>
      <c r="I22" s="25">
        <v>18000.0</v>
      </c>
      <c r="J22" s="5">
        <v>0.0</v>
      </c>
      <c r="K22" s="5">
        <f t="shared" si="2"/>
        <v>90000</v>
      </c>
      <c r="L22" s="4" t="s">
        <v>19</v>
      </c>
      <c r="M22" s="1" t="s">
        <v>1229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1234</v>
      </c>
      <c r="B23" s="66" t="s">
        <v>50</v>
      </c>
      <c r="C23" s="4">
        <v>14734.0</v>
      </c>
      <c r="D23" s="4" t="s">
        <v>451</v>
      </c>
      <c r="E23" s="1" t="s">
        <v>1169</v>
      </c>
      <c r="F23" s="1" t="str">
        <f t="shared" si="1"/>
        <v>07/10/24PS3010</v>
      </c>
      <c r="G23" s="1" t="str">
        <f>_xludf.IFNA(VLOOKUP(E23,Master!D:J,4,0),"")</f>
        <v>#NAME?</v>
      </c>
      <c r="H23" s="4">
        <v>1.0</v>
      </c>
      <c r="I23" s="25">
        <v>20000.0</v>
      </c>
      <c r="J23" s="5">
        <v>0.0</v>
      </c>
      <c r="K23" s="5">
        <f t="shared" si="2"/>
        <v>20000</v>
      </c>
      <c r="L23" s="4" t="s">
        <v>19</v>
      </c>
      <c r="M23" s="1" t="s">
        <v>1229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1234</v>
      </c>
      <c r="B24" s="66" t="s">
        <v>50</v>
      </c>
      <c r="C24" s="4">
        <v>14734.0</v>
      </c>
      <c r="D24" s="4" t="s">
        <v>451</v>
      </c>
      <c r="E24" s="1" t="s">
        <v>1194</v>
      </c>
      <c r="F24" s="1" t="str">
        <f t="shared" si="1"/>
        <v>07/10/24PK1023</v>
      </c>
      <c r="G24" s="1" t="str">
        <f>_xludf.IFNA(VLOOKUP(E24,Master!D:J,4,0),"")</f>
        <v>#NAME?</v>
      </c>
      <c r="H24" s="4">
        <v>2.0</v>
      </c>
      <c r="I24" s="25">
        <v>25000.0</v>
      </c>
      <c r="J24" s="5">
        <v>0.0</v>
      </c>
      <c r="K24" s="5">
        <f t="shared" si="2"/>
        <v>50000</v>
      </c>
      <c r="L24" s="4" t="s">
        <v>19</v>
      </c>
      <c r="M24" s="1" t="s">
        <v>1229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1234</v>
      </c>
      <c r="B25" s="66" t="s">
        <v>1235</v>
      </c>
      <c r="C25" s="4">
        <v>17433.0</v>
      </c>
      <c r="D25" s="4" t="s">
        <v>451</v>
      </c>
      <c r="E25" s="1" t="s">
        <v>1027</v>
      </c>
      <c r="F25" s="1" t="str">
        <f t="shared" si="1"/>
        <v>07/10/24MT1014</v>
      </c>
      <c r="G25" s="1" t="str">
        <f>_xludf.IFNA(VLOOKUP(E25,Master!D:J,4,0),"")</f>
        <v>#NAME?</v>
      </c>
      <c r="H25" s="4">
        <v>10.0</v>
      </c>
      <c r="I25" s="25">
        <v>4000.0</v>
      </c>
      <c r="J25" s="5">
        <v>0.0</v>
      </c>
      <c r="K25" s="5">
        <f t="shared" si="2"/>
        <v>40000</v>
      </c>
      <c r="L25" s="4" t="s">
        <v>19</v>
      </c>
      <c r="M25" s="1" t="s">
        <v>1229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1234</v>
      </c>
      <c r="B26" s="66" t="s">
        <v>50</v>
      </c>
      <c r="C26" s="4">
        <v>17431.0</v>
      </c>
      <c r="D26" s="4" t="s">
        <v>451</v>
      </c>
      <c r="E26" s="1" t="s">
        <v>1183</v>
      </c>
      <c r="F26" s="1" t="str">
        <f t="shared" si="1"/>
        <v>07/10/24PK1012</v>
      </c>
      <c r="G26" s="1" t="str">
        <f>_xludf.IFNA(VLOOKUP(E26,Master!D:J,4,0),"")</f>
        <v>#NAME?</v>
      </c>
      <c r="H26" s="4">
        <v>3.0</v>
      </c>
      <c r="I26" s="25">
        <v>25000.0</v>
      </c>
      <c r="J26" s="5">
        <v>0.0</v>
      </c>
      <c r="K26" s="5">
        <f t="shared" si="2"/>
        <v>75000</v>
      </c>
      <c r="L26" s="4" t="s">
        <v>19</v>
      </c>
      <c r="M26" s="1" t="s">
        <v>1229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1234</v>
      </c>
      <c r="B27" s="66" t="s">
        <v>50</v>
      </c>
      <c r="C27" s="4">
        <v>17431.0</v>
      </c>
      <c r="D27" s="4" t="s">
        <v>451</v>
      </c>
      <c r="E27" s="1" t="s">
        <v>1236</v>
      </c>
      <c r="F27" s="1" t="str">
        <f t="shared" si="1"/>
        <v>07/10/24PK1051</v>
      </c>
      <c r="G27" s="1" t="str">
        <f>_xludf.IFNA(VLOOKUP(E27,Master!D:J,4,0),"")</f>
        <v>#NAME?</v>
      </c>
      <c r="H27" s="4">
        <v>1.0</v>
      </c>
      <c r="I27" s="25">
        <v>45000.0</v>
      </c>
      <c r="J27" s="5">
        <v>0.0</v>
      </c>
      <c r="K27" s="5">
        <f t="shared" si="2"/>
        <v>45000</v>
      </c>
      <c r="L27" s="4" t="s">
        <v>19</v>
      </c>
      <c r="M27" s="1" t="s">
        <v>1229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1234</v>
      </c>
      <c r="B28" s="66" t="s">
        <v>50</v>
      </c>
      <c r="C28" s="4">
        <v>17431.0</v>
      </c>
      <c r="D28" s="4" t="s">
        <v>451</v>
      </c>
      <c r="E28" s="1" t="s">
        <v>1237</v>
      </c>
      <c r="F28" s="1" t="str">
        <f t="shared" si="1"/>
        <v>07/10/24PK1052</v>
      </c>
      <c r="G28" s="1" t="str">
        <f>_xludf.IFNA(VLOOKUP(E28,Master!D:J,4,0),"")</f>
        <v>#NAME?</v>
      </c>
      <c r="H28" s="4">
        <v>1.0</v>
      </c>
      <c r="I28" s="25">
        <v>60000.0</v>
      </c>
      <c r="J28" s="5">
        <v>0.0</v>
      </c>
      <c r="K28" s="5">
        <f t="shared" si="2"/>
        <v>60000</v>
      </c>
      <c r="L28" s="4" t="s">
        <v>19</v>
      </c>
      <c r="M28" s="1" t="s">
        <v>1229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1234</v>
      </c>
      <c r="B29" s="66" t="s">
        <v>50</v>
      </c>
      <c r="C29" s="4">
        <v>17431.0</v>
      </c>
      <c r="D29" s="4" t="s">
        <v>451</v>
      </c>
      <c r="E29" s="1" t="s">
        <v>1209</v>
      </c>
      <c r="F29" s="1" t="str">
        <f t="shared" si="1"/>
        <v>07/10/24PK1038</v>
      </c>
      <c r="G29" s="1" t="str">
        <f>_xludf.IFNA(VLOOKUP(E29,Master!D:J,4,0),"")</f>
        <v>#NAME?</v>
      </c>
      <c r="H29" s="4">
        <v>2.0</v>
      </c>
      <c r="I29" s="25">
        <v>6000.0</v>
      </c>
      <c r="J29" s="5">
        <v>0.0</v>
      </c>
      <c r="K29" s="5">
        <f t="shared" si="2"/>
        <v>12000</v>
      </c>
      <c r="L29" s="4" t="s">
        <v>19</v>
      </c>
      <c r="M29" s="1" t="s">
        <v>1229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1234</v>
      </c>
      <c r="B30" s="66" t="s">
        <v>50</v>
      </c>
      <c r="C30" s="4">
        <v>17431.0</v>
      </c>
      <c r="D30" s="4" t="s">
        <v>451</v>
      </c>
      <c r="E30" s="1" t="s">
        <v>1091</v>
      </c>
      <c r="F30" s="1" t="str">
        <f t="shared" si="1"/>
        <v>07/10/24PL4023</v>
      </c>
      <c r="G30" s="1" t="str">
        <f>_xludf.IFNA(VLOOKUP(E30,Master!D:J,4,0),"")</f>
        <v>#NAME?</v>
      </c>
      <c r="H30" s="4">
        <v>1.0</v>
      </c>
      <c r="I30" s="25">
        <v>33000.0</v>
      </c>
      <c r="J30" s="5">
        <v>0.0</v>
      </c>
      <c r="K30" s="5">
        <f t="shared" si="2"/>
        <v>33000</v>
      </c>
      <c r="L30" s="4" t="s">
        <v>19</v>
      </c>
      <c r="M30" s="1" t="s">
        <v>1229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1234</v>
      </c>
      <c r="B31" s="66" t="s">
        <v>50</v>
      </c>
      <c r="C31" s="4">
        <v>17431.0</v>
      </c>
      <c r="D31" s="4" t="s">
        <v>451</v>
      </c>
      <c r="E31" s="1" t="s">
        <v>1147</v>
      </c>
      <c r="F31" s="1" t="str">
        <f t="shared" si="1"/>
        <v>07/10/24PL6028</v>
      </c>
      <c r="G31" s="1" t="str">
        <f>_xludf.IFNA(VLOOKUP(E31,Master!D:J,4,0),"")</f>
        <v>#NAME?</v>
      </c>
      <c r="H31" s="4">
        <v>12.0</v>
      </c>
      <c r="I31" s="25">
        <f>30000/12</f>
        <v>2500</v>
      </c>
      <c r="J31" s="5">
        <v>0.0</v>
      </c>
      <c r="K31" s="5">
        <f t="shared" si="2"/>
        <v>30000</v>
      </c>
      <c r="L31" s="4" t="s">
        <v>19</v>
      </c>
      <c r="M31" s="1" t="s">
        <v>1229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 t="s">
        <v>1234</v>
      </c>
      <c r="B32" s="66" t="s">
        <v>50</v>
      </c>
      <c r="C32" s="4">
        <v>17431.0</v>
      </c>
      <c r="D32" s="4" t="s">
        <v>451</v>
      </c>
      <c r="E32" s="1" t="s">
        <v>1148</v>
      </c>
      <c r="F32" s="1" t="str">
        <f t="shared" si="1"/>
        <v>07/10/24PL6029</v>
      </c>
      <c r="G32" s="1" t="str">
        <f>_xludf.IFNA(VLOOKUP(E32,Master!D:J,4,0),"")</f>
        <v>#NAME?</v>
      </c>
      <c r="H32" s="4">
        <v>12.0</v>
      </c>
      <c r="I32" s="25">
        <f>42000/12</f>
        <v>3500</v>
      </c>
      <c r="J32" s="5">
        <v>0.0</v>
      </c>
      <c r="K32" s="5">
        <f t="shared" si="2"/>
        <v>42000</v>
      </c>
      <c r="L32" s="4" t="s">
        <v>19</v>
      </c>
      <c r="M32" s="1" t="s">
        <v>1229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 t="s">
        <v>1234</v>
      </c>
      <c r="B33" s="66" t="s">
        <v>50</v>
      </c>
      <c r="C33" s="4">
        <v>17431.0</v>
      </c>
      <c r="D33" s="4" t="s">
        <v>451</v>
      </c>
      <c r="E33" s="1" t="s">
        <v>1130</v>
      </c>
      <c r="F33" s="1" t="str">
        <f t="shared" si="1"/>
        <v>07/10/24PL6011</v>
      </c>
      <c r="G33" s="1" t="str">
        <f>_xludf.IFNA(VLOOKUP(E33,Master!D:J,4,0),"")</f>
        <v>#NAME?</v>
      </c>
      <c r="H33" s="4">
        <v>12.0</v>
      </c>
      <c r="I33" s="25">
        <f>45000/12</f>
        <v>3750</v>
      </c>
      <c r="J33" s="5">
        <v>0.0</v>
      </c>
      <c r="K33" s="5">
        <f t="shared" si="2"/>
        <v>45000</v>
      </c>
      <c r="L33" s="4" t="s">
        <v>19</v>
      </c>
      <c r="M33" s="1" t="s">
        <v>1229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 t="s">
        <v>1234</v>
      </c>
      <c r="B34" s="66"/>
      <c r="C34" s="4"/>
      <c r="D34" s="4"/>
      <c r="E34" s="1"/>
      <c r="F34" s="1" t="str">
        <f t="shared" si="1"/>
        <v>07/10/24</v>
      </c>
      <c r="G34" s="1" t="str">
        <f>_xludf.IFNA(VLOOKUP(E34,Master!D:J,4,0),"")</f>
        <v>#NAME?</v>
      </c>
      <c r="H34" s="4">
        <v>0.0</v>
      </c>
      <c r="I34" s="25">
        <v>0.0</v>
      </c>
      <c r="J34" s="5">
        <v>0.0</v>
      </c>
      <c r="K34" s="5">
        <f t="shared" si="2"/>
        <v>0</v>
      </c>
      <c r="L34" s="4" t="s">
        <v>19</v>
      </c>
      <c r="M34" s="1" t="s">
        <v>1229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 t="s">
        <v>1234</v>
      </c>
      <c r="B35" s="66"/>
      <c r="C35" s="4"/>
      <c r="D35" s="4"/>
      <c r="E35" s="1"/>
      <c r="F35" s="1" t="str">
        <f t="shared" si="1"/>
        <v>07/10/24</v>
      </c>
      <c r="G35" s="1" t="str">
        <f>_xludf.IFNA(VLOOKUP(E35,Master!D:J,4,0),"")</f>
        <v>#NAME?</v>
      </c>
      <c r="H35" s="4">
        <v>0.0</v>
      </c>
      <c r="I35" s="25">
        <v>0.0</v>
      </c>
      <c r="J35" s="5">
        <v>0.0</v>
      </c>
      <c r="K35" s="5">
        <f t="shared" si="2"/>
        <v>0</v>
      </c>
      <c r="L35" s="4" t="s">
        <v>19</v>
      </c>
      <c r="M35" s="1" t="s">
        <v>1229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 t="s">
        <v>1238</v>
      </c>
      <c r="B36" s="66" t="s">
        <v>1239</v>
      </c>
      <c r="C36" s="4">
        <v>14757.0</v>
      </c>
      <c r="D36" s="4" t="s">
        <v>451</v>
      </c>
      <c r="E36" s="1" t="s">
        <v>1171</v>
      </c>
      <c r="F36" s="1" t="str">
        <f t="shared" si="1"/>
        <v>08/10/24PS3012</v>
      </c>
      <c r="G36" s="1" t="str">
        <f>_xludf.IFNA(VLOOKUP(E36,Master!D:J,4,0),"")</f>
        <v>#NAME?</v>
      </c>
      <c r="H36" s="4">
        <v>1.0</v>
      </c>
      <c r="I36" s="25">
        <v>40000.0</v>
      </c>
      <c r="J36" s="5">
        <v>0.0</v>
      </c>
      <c r="K36" s="5">
        <f t="shared" si="2"/>
        <v>40000</v>
      </c>
      <c r="L36" s="4" t="s">
        <v>19</v>
      </c>
      <c r="M36" s="1" t="s">
        <v>1229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 t="s">
        <v>1238</v>
      </c>
      <c r="B37" s="66" t="s">
        <v>1239</v>
      </c>
      <c r="C37" s="4">
        <v>14757.0</v>
      </c>
      <c r="D37" s="4" t="s">
        <v>451</v>
      </c>
      <c r="E37" s="1" t="s">
        <v>1168</v>
      </c>
      <c r="F37" s="1" t="str">
        <f t="shared" si="1"/>
        <v>08/10/24PS3009</v>
      </c>
      <c r="G37" s="1" t="str">
        <f>_xludf.IFNA(VLOOKUP(E37,Master!D:J,4,0),"")</f>
        <v>#NAME?</v>
      </c>
      <c r="H37" s="4">
        <v>2.0</v>
      </c>
      <c r="I37" s="25">
        <v>68000.0</v>
      </c>
      <c r="J37" s="5">
        <v>0.0</v>
      </c>
      <c r="K37" s="5">
        <f t="shared" si="2"/>
        <v>136000</v>
      </c>
      <c r="L37" s="4" t="s">
        <v>19</v>
      </c>
      <c r="M37" s="1" t="s">
        <v>1229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 t="s">
        <v>1238</v>
      </c>
      <c r="B38" s="66" t="s">
        <v>1239</v>
      </c>
      <c r="C38" s="4">
        <v>17518.0</v>
      </c>
      <c r="D38" s="4" t="s">
        <v>451</v>
      </c>
      <c r="E38" s="1" t="s">
        <v>1185</v>
      </c>
      <c r="F38" s="1" t="str">
        <f t="shared" si="1"/>
        <v>08/10/24PK1014</v>
      </c>
      <c r="G38" s="1" t="str">
        <f>_xludf.IFNA(VLOOKUP(E38,Master!D:J,4,0),"")</f>
        <v>#NAME?</v>
      </c>
      <c r="H38" s="4">
        <v>5.0</v>
      </c>
      <c r="I38" s="25">
        <v>12000.0</v>
      </c>
      <c r="J38" s="5">
        <v>0.0</v>
      </c>
      <c r="K38" s="5">
        <f t="shared" si="2"/>
        <v>60000</v>
      </c>
      <c r="L38" s="4" t="s">
        <v>19</v>
      </c>
      <c r="M38" s="1" t="s">
        <v>1229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 t="s">
        <v>1238</v>
      </c>
      <c r="B39" s="66" t="s">
        <v>1239</v>
      </c>
      <c r="C39" s="4">
        <v>17518.0</v>
      </c>
      <c r="D39" s="4" t="s">
        <v>451</v>
      </c>
      <c r="E39" s="1" t="s">
        <v>1151</v>
      </c>
      <c r="F39" s="1" t="str">
        <f t="shared" si="1"/>
        <v>08/10/24PS1001</v>
      </c>
      <c r="G39" s="1" t="str">
        <f>_xludf.IFNA(VLOOKUP(E39,Master!D:J,4,0),"")</f>
        <v>#NAME?</v>
      </c>
      <c r="H39" s="4">
        <v>1.0</v>
      </c>
      <c r="I39" s="25">
        <v>43000.0</v>
      </c>
      <c r="J39" s="5">
        <v>0.0</v>
      </c>
      <c r="K39" s="5">
        <f t="shared" si="2"/>
        <v>43000</v>
      </c>
      <c r="L39" s="4" t="s">
        <v>19</v>
      </c>
      <c r="M39" s="1" t="s">
        <v>1229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 t="s">
        <v>1238</v>
      </c>
      <c r="B40" s="66" t="s">
        <v>1239</v>
      </c>
      <c r="C40" s="4">
        <v>17518.0</v>
      </c>
      <c r="D40" s="4" t="s">
        <v>451</v>
      </c>
      <c r="E40" s="1" t="s">
        <v>1182</v>
      </c>
      <c r="F40" s="1" t="str">
        <f t="shared" si="1"/>
        <v>08/10/24PK1011</v>
      </c>
      <c r="G40" s="1" t="str">
        <f>_xludf.IFNA(VLOOKUP(E40,Master!D:J,4,0),"")</f>
        <v>#NAME?</v>
      </c>
      <c r="H40" s="4">
        <v>2.0</v>
      </c>
      <c r="I40" s="25">
        <v>78000.0</v>
      </c>
      <c r="J40" s="5">
        <v>0.0</v>
      </c>
      <c r="K40" s="5">
        <f t="shared" si="2"/>
        <v>156000</v>
      </c>
      <c r="L40" s="4" t="s">
        <v>19</v>
      </c>
      <c r="M40" s="1" t="s">
        <v>1229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 t="s">
        <v>1238</v>
      </c>
      <c r="B41" s="66" t="s">
        <v>1239</v>
      </c>
      <c r="C41" s="4">
        <v>17518.0</v>
      </c>
      <c r="D41" s="4" t="s">
        <v>451</v>
      </c>
      <c r="E41" s="1" t="s">
        <v>1126</v>
      </c>
      <c r="F41" s="1" t="str">
        <f t="shared" si="1"/>
        <v>08/10/24PL6007</v>
      </c>
      <c r="G41" s="1" t="str">
        <f>_xludf.IFNA(VLOOKUP(E41,Master!D:J,4,0),"")</f>
        <v>#NAME?</v>
      </c>
      <c r="H41" s="4">
        <v>12.0</v>
      </c>
      <c r="I41" s="25">
        <f>96000/12</f>
        <v>8000</v>
      </c>
      <c r="J41" s="5">
        <v>0.0</v>
      </c>
      <c r="K41" s="5">
        <f t="shared" si="2"/>
        <v>96000</v>
      </c>
      <c r="L41" s="4" t="s">
        <v>19</v>
      </c>
      <c r="M41" s="1" t="s">
        <v>1229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 t="s">
        <v>1238</v>
      </c>
      <c r="B42" s="66" t="s">
        <v>1239</v>
      </c>
      <c r="C42" s="4">
        <v>17518.0</v>
      </c>
      <c r="D42" s="4" t="s">
        <v>451</v>
      </c>
      <c r="E42" s="1" t="s">
        <v>1141</v>
      </c>
      <c r="F42" s="1" t="str">
        <f t="shared" si="1"/>
        <v>08/10/24PL6022</v>
      </c>
      <c r="G42" s="1" t="str">
        <f>_xludf.IFNA(VLOOKUP(E42,Master!D:J,4,0),"")</f>
        <v>#NAME?</v>
      </c>
      <c r="H42" s="4">
        <v>3.0</v>
      </c>
      <c r="I42" s="25">
        <v>30500.0</v>
      </c>
      <c r="J42" s="5">
        <v>0.0</v>
      </c>
      <c r="K42" s="5">
        <f t="shared" si="2"/>
        <v>91500</v>
      </c>
      <c r="L42" s="4" t="s">
        <v>19</v>
      </c>
      <c r="M42" s="1" t="s">
        <v>1229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 t="s">
        <v>1238</v>
      </c>
      <c r="B43" s="66" t="s">
        <v>1239</v>
      </c>
      <c r="C43" s="4">
        <v>17518.0</v>
      </c>
      <c r="D43" s="4" t="s">
        <v>451</v>
      </c>
      <c r="E43" s="1" t="s">
        <v>1150</v>
      </c>
      <c r="F43" s="1" t="str">
        <f t="shared" si="1"/>
        <v>08/10/24PL6031</v>
      </c>
      <c r="G43" s="1" t="str">
        <f>_xludf.IFNA(VLOOKUP(E43,Master!D:J,4,0),"")</f>
        <v>#NAME?</v>
      </c>
      <c r="H43" s="4">
        <v>2.0</v>
      </c>
      <c r="I43" s="25">
        <v>58000.0</v>
      </c>
      <c r="J43" s="5">
        <v>0.0</v>
      </c>
      <c r="K43" s="5">
        <f t="shared" si="2"/>
        <v>116000</v>
      </c>
      <c r="L43" s="4" t="s">
        <v>19</v>
      </c>
      <c r="M43" s="1" t="s">
        <v>1229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1238</v>
      </c>
      <c r="B44" s="66" t="s">
        <v>1240</v>
      </c>
      <c r="C44" s="4">
        <v>17519.0</v>
      </c>
      <c r="D44" s="4" t="s">
        <v>451</v>
      </c>
      <c r="E44" s="1" t="s">
        <v>1199</v>
      </c>
      <c r="F44" s="1" t="str">
        <f t="shared" si="1"/>
        <v>08/10/24PK1028</v>
      </c>
      <c r="G44" s="1" t="str">
        <f>_xludf.IFNA(VLOOKUP(E44,Master!D:J,4,0),"")</f>
        <v>#NAME?</v>
      </c>
      <c r="H44" s="4">
        <v>5.0</v>
      </c>
      <c r="I44" s="25">
        <v>19000.0</v>
      </c>
      <c r="J44" s="5">
        <v>0.0</v>
      </c>
      <c r="K44" s="5">
        <f t="shared" si="2"/>
        <v>95000</v>
      </c>
      <c r="L44" s="4" t="s">
        <v>19</v>
      </c>
      <c r="M44" s="1" t="s">
        <v>1229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 t="s">
        <v>1238</v>
      </c>
      <c r="B45" s="66"/>
      <c r="C45" s="4"/>
      <c r="D45" s="4"/>
      <c r="E45" s="1"/>
      <c r="F45" s="1" t="str">
        <f t="shared" si="1"/>
        <v>08/10/24</v>
      </c>
      <c r="G45" s="1" t="str">
        <f>_xludf.IFNA(VLOOKUP(E45,Master!D:J,4,0),"")</f>
        <v>#NAME?</v>
      </c>
      <c r="H45" s="4"/>
      <c r="I45" s="25">
        <v>0.0</v>
      </c>
      <c r="J45" s="5">
        <v>0.0</v>
      </c>
      <c r="K45" s="5">
        <f t="shared" si="2"/>
        <v>0</v>
      </c>
      <c r="L45" s="4" t="s">
        <v>19</v>
      </c>
      <c r="M45" s="1" t="s">
        <v>1229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 t="s">
        <v>1238</v>
      </c>
      <c r="B46" s="66"/>
      <c r="C46" s="4"/>
      <c r="D46" s="4"/>
      <c r="E46" s="1"/>
      <c r="F46" s="1" t="str">
        <f t="shared" si="1"/>
        <v>08/10/24</v>
      </c>
      <c r="G46" s="1" t="str">
        <f>_xludf.IFNA(VLOOKUP(E46,Master!D:J,4,0),"")</f>
        <v>#NAME?</v>
      </c>
      <c r="H46" s="4"/>
      <c r="I46" s="25">
        <v>0.0</v>
      </c>
      <c r="J46" s="5">
        <v>0.0</v>
      </c>
      <c r="K46" s="5">
        <f t="shared" si="2"/>
        <v>0</v>
      </c>
      <c r="L46" s="4" t="s">
        <v>19</v>
      </c>
      <c r="M46" s="1" t="s">
        <v>1229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 t="s">
        <v>1238</v>
      </c>
      <c r="B47" s="66"/>
      <c r="C47" s="4"/>
      <c r="D47" s="4"/>
      <c r="E47" s="1"/>
      <c r="F47" s="1" t="str">
        <f t="shared" si="1"/>
        <v>08/10/24</v>
      </c>
      <c r="G47" s="1" t="str">
        <f>_xludf.IFNA(VLOOKUP(E47,Master!D:J,4,0),"")</f>
        <v>#NAME?</v>
      </c>
      <c r="H47" s="4"/>
      <c r="I47" s="25">
        <v>0.0</v>
      </c>
      <c r="J47" s="5">
        <v>0.0</v>
      </c>
      <c r="K47" s="5">
        <f t="shared" si="2"/>
        <v>0</v>
      </c>
      <c r="L47" s="4" t="s">
        <v>19</v>
      </c>
      <c r="M47" s="1" t="s">
        <v>1229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 t="s">
        <v>1241</v>
      </c>
      <c r="B48" s="66" t="s">
        <v>1233</v>
      </c>
      <c r="C48" s="4">
        <v>17631.0</v>
      </c>
      <c r="D48" s="4" t="s">
        <v>451</v>
      </c>
      <c r="E48" s="1" t="s">
        <v>1128</v>
      </c>
      <c r="F48" s="1" t="str">
        <f t="shared" si="1"/>
        <v>09/10/24PL6009</v>
      </c>
      <c r="G48" s="1" t="str">
        <f>_xludf.IFNA(VLOOKUP(E48,Master!D:J,4,0),"")</f>
        <v>#NAME?</v>
      </c>
      <c r="H48" s="4">
        <v>24.0</v>
      </c>
      <c r="I48" s="25">
        <f>22500/12</f>
        <v>1875</v>
      </c>
      <c r="J48" s="5">
        <v>0.0</v>
      </c>
      <c r="K48" s="5">
        <f t="shared" si="2"/>
        <v>45000</v>
      </c>
      <c r="L48" s="4" t="s">
        <v>19</v>
      </c>
      <c r="M48" s="1" t="s">
        <v>1229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 t="s">
        <v>1241</v>
      </c>
      <c r="B49" s="66" t="s">
        <v>1233</v>
      </c>
      <c r="C49" s="4">
        <v>17631.0</v>
      </c>
      <c r="D49" s="4" t="s">
        <v>451</v>
      </c>
      <c r="E49" s="1" t="s">
        <v>1129</v>
      </c>
      <c r="F49" s="1" t="str">
        <f t="shared" si="1"/>
        <v>09/10/24PL6010</v>
      </c>
      <c r="G49" s="1" t="str">
        <f>_xludf.IFNA(VLOOKUP(E49,Master!D:J,4,0),"")</f>
        <v>#NAME?</v>
      </c>
      <c r="H49" s="4">
        <v>24.0</v>
      </c>
      <c r="I49" s="25">
        <f>27000/12</f>
        <v>2250</v>
      </c>
      <c r="J49" s="5">
        <v>0.0</v>
      </c>
      <c r="K49" s="5">
        <f t="shared" si="2"/>
        <v>54000</v>
      </c>
      <c r="L49" s="4" t="s">
        <v>19</v>
      </c>
      <c r="M49" s="1" t="s">
        <v>1229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 t="s">
        <v>1241</v>
      </c>
      <c r="B50" s="66" t="s">
        <v>1233</v>
      </c>
      <c r="C50" s="4">
        <v>17631.0</v>
      </c>
      <c r="D50" s="4" t="s">
        <v>451</v>
      </c>
      <c r="E50" s="1" t="s">
        <v>1132</v>
      </c>
      <c r="F50" s="1" t="str">
        <f t="shared" si="1"/>
        <v>09/10/24PL6013</v>
      </c>
      <c r="G50" s="1" t="str">
        <f>_xludf.IFNA(VLOOKUP(E50,Master!D:J,4,0),"")</f>
        <v>#NAME?</v>
      </c>
      <c r="H50" s="4">
        <v>12.0</v>
      </c>
      <c r="I50" s="25">
        <f>72000/12</f>
        <v>6000</v>
      </c>
      <c r="J50" s="5">
        <v>0.0</v>
      </c>
      <c r="K50" s="5">
        <f t="shared" si="2"/>
        <v>72000</v>
      </c>
      <c r="L50" s="4" t="s">
        <v>19</v>
      </c>
      <c r="M50" s="1" t="s">
        <v>1229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1241</v>
      </c>
      <c r="B51" s="66" t="s">
        <v>1233</v>
      </c>
      <c r="C51" s="4">
        <v>17631.0</v>
      </c>
      <c r="D51" s="4" t="s">
        <v>451</v>
      </c>
      <c r="E51" s="1" t="s">
        <v>1133</v>
      </c>
      <c r="F51" s="1" t="str">
        <f t="shared" si="1"/>
        <v>09/10/24PL6014</v>
      </c>
      <c r="G51" s="1" t="str">
        <f>_xludf.IFNA(VLOOKUP(E51,Master!D:J,4,0),"")</f>
        <v>#NAME?</v>
      </c>
      <c r="H51" s="4">
        <v>12.0</v>
      </c>
      <c r="I51" s="25">
        <f>123000/12</f>
        <v>10250</v>
      </c>
      <c r="J51" s="5">
        <v>0.0</v>
      </c>
      <c r="K51" s="5">
        <f t="shared" si="2"/>
        <v>123000</v>
      </c>
      <c r="L51" s="4" t="s">
        <v>19</v>
      </c>
      <c r="M51" s="1" t="s">
        <v>1229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 t="s">
        <v>1242</v>
      </c>
      <c r="B52" s="66" t="s">
        <v>1243</v>
      </c>
      <c r="C52" s="4">
        <v>17810.0</v>
      </c>
      <c r="D52" s="1" t="s">
        <v>451</v>
      </c>
      <c r="E52" s="1" t="s">
        <v>1141</v>
      </c>
      <c r="F52" s="1" t="str">
        <f t="shared" si="1"/>
        <v>11/10/24PL6022</v>
      </c>
      <c r="G52" s="1" t="str">
        <f>_xludf.IFNA(VLOOKUP(E52,Master!D:J,4,0),"")</f>
        <v>#NAME?</v>
      </c>
      <c r="H52" s="4">
        <v>3.0</v>
      </c>
      <c r="I52" s="25">
        <v>30500.0</v>
      </c>
      <c r="J52" s="5">
        <v>0.0</v>
      </c>
      <c r="K52" s="5">
        <f t="shared" si="2"/>
        <v>91500</v>
      </c>
      <c r="L52" s="4" t="s">
        <v>19</v>
      </c>
      <c r="M52" s="1" t="s">
        <v>1229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 t="s">
        <v>1242</v>
      </c>
      <c r="B53" s="66" t="s">
        <v>1243</v>
      </c>
      <c r="C53" s="4">
        <v>17810.0</v>
      </c>
      <c r="D53" s="1" t="s">
        <v>451</v>
      </c>
      <c r="E53" s="1" t="s">
        <v>1135</v>
      </c>
      <c r="F53" s="1" t="str">
        <f t="shared" si="1"/>
        <v>11/10/24PL6016</v>
      </c>
      <c r="G53" s="1" t="str">
        <f>_xludf.IFNA(VLOOKUP(E53,Master!D:J,4,0),"")</f>
        <v>#NAME?</v>
      </c>
      <c r="H53" s="4">
        <v>6.0</v>
      </c>
      <c r="I53" s="25">
        <v>20750.0</v>
      </c>
      <c r="J53" s="5">
        <v>0.0</v>
      </c>
      <c r="K53" s="5">
        <f t="shared" si="2"/>
        <v>124500</v>
      </c>
      <c r="L53" s="4" t="s">
        <v>19</v>
      </c>
      <c r="M53" s="1" t="s">
        <v>1229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 t="s">
        <v>1242</v>
      </c>
      <c r="B54" s="66" t="s">
        <v>1243</v>
      </c>
      <c r="C54" s="4">
        <v>17810.0</v>
      </c>
      <c r="D54" s="1" t="s">
        <v>451</v>
      </c>
      <c r="E54" s="1" t="s">
        <v>1149</v>
      </c>
      <c r="F54" s="1" t="str">
        <f t="shared" si="1"/>
        <v>11/10/24PL6030</v>
      </c>
      <c r="G54" s="1" t="str">
        <f>_xludf.IFNA(VLOOKUP(E54,Master!D:J,4,0),"")</f>
        <v>#NAME?</v>
      </c>
      <c r="H54" s="4">
        <v>3.0</v>
      </c>
      <c r="I54" s="25">
        <v>19000.0</v>
      </c>
      <c r="J54" s="5">
        <v>0.0</v>
      </c>
      <c r="K54" s="5">
        <f t="shared" si="2"/>
        <v>57000</v>
      </c>
      <c r="L54" s="4" t="s">
        <v>19</v>
      </c>
      <c r="M54" s="1" t="s">
        <v>1229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 t="s">
        <v>1242</v>
      </c>
      <c r="B55" s="66" t="s">
        <v>1243</v>
      </c>
      <c r="C55" s="4">
        <v>17810.0</v>
      </c>
      <c r="D55" s="1" t="s">
        <v>451</v>
      </c>
      <c r="E55" s="1" t="s">
        <v>1162</v>
      </c>
      <c r="F55" s="1" t="str">
        <f t="shared" si="1"/>
        <v>11/10/24PS3003</v>
      </c>
      <c r="G55" s="1" t="str">
        <f>_xludf.IFNA(VLOOKUP(E55,Master!D:J,4,0),"")</f>
        <v>#NAME?</v>
      </c>
      <c r="H55" s="4">
        <v>2.0</v>
      </c>
      <c r="I55" s="25">
        <v>40000.0</v>
      </c>
      <c r="J55" s="5">
        <v>0.0</v>
      </c>
      <c r="K55" s="5">
        <f t="shared" si="2"/>
        <v>80000</v>
      </c>
      <c r="L55" s="4" t="s">
        <v>19</v>
      </c>
      <c r="M55" s="1" t="s">
        <v>1229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 t="s">
        <v>1242</v>
      </c>
      <c r="B56" s="66" t="s">
        <v>1243</v>
      </c>
      <c r="C56" s="4">
        <v>14810.0</v>
      </c>
      <c r="D56" s="1" t="s">
        <v>451</v>
      </c>
      <c r="E56" s="1" t="s">
        <v>1156</v>
      </c>
      <c r="F56" s="1" t="str">
        <f t="shared" si="1"/>
        <v>11/10/24PS2004</v>
      </c>
      <c r="G56" s="1" t="str">
        <f>_xludf.IFNA(VLOOKUP(E56,Master!D:J,4,0),"")</f>
        <v>#NAME?</v>
      </c>
      <c r="H56" s="4">
        <v>1.0</v>
      </c>
      <c r="I56" s="25">
        <v>33000.0</v>
      </c>
      <c r="J56" s="5">
        <v>0.0</v>
      </c>
      <c r="K56" s="5">
        <f t="shared" si="2"/>
        <v>33000</v>
      </c>
      <c r="L56" s="4" t="s">
        <v>19</v>
      </c>
      <c r="M56" s="1" t="s">
        <v>1229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 t="s">
        <v>1244</v>
      </c>
      <c r="B57" s="66" t="s">
        <v>1245</v>
      </c>
      <c r="C57" s="4">
        <v>14846.0</v>
      </c>
      <c r="D57" s="1" t="s">
        <v>451</v>
      </c>
      <c r="E57" s="1" t="s">
        <v>504</v>
      </c>
      <c r="F57" s="1" t="str">
        <f t="shared" si="1"/>
        <v>12/10/24PL3017</v>
      </c>
      <c r="G57" s="1" t="str">
        <f>_xludf.IFNA(VLOOKUP(E57,Master!D:J,4,0),"")</f>
        <v>#NAME?</v>
      </c>
      <c r="H57" s="4">
        <v>1.0</v>
      </c>
      <c r="I57" s="25">
        <v>85000.0</v>
      </c>
      <c r="J57" s="5">
        <v>0.0</v>
      </c>
      <c r="K57" s="5">
        <f t="shared" si="2"/>
        <v>85000</v>
      </c>
      <c r="L57" s="4" t="s">
        <v>19</v>
      </c>
      <c r="M57" s="1" t="s">
        <v>1229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1244</v>
      </c>
      <c r="B58" s="66" t="s">
        <v>1245</v>
      </c>
      <c r="C58" s="4">
        <v>14846.0</v>
      </c>
      <c r="D58" s="1" t="s">
        <v>451</v>
      </c>
      <c r="E58" s="1" t="s">
        <v>523</v>
      </c>
      <c r="F58" s="1" t="str">
        <f t="shared" si="1"/>
        <v>12/10/24PL3027</v>
      </c>
      <c r="G58" s="1" t="str">
        <f>_xludf.IFNA(VLOOKUP(E58,Master!D:J,4,0),"")</f>
        <v>#NAME?</v>
      </c>
      <c r="H58" s="4">
        <v>1.0</v>
      </c>
      <c r="I58" s="25">
        <v>85000.0</v>
      </c>
      <c r="J58" s="5">
        <v>0.0</v>
      </c>
      <c r="K58" s="5">
        <f t="shared" si="2"/>
        <v>85000</v>
      </c>
      <c r="L58" s="4" t="s">
        <v>19</v>
      </c>
      <c r="M58" s="1" t="s">
        <v>1229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 t="s">
        <v>1244</v>
      </c>
      <c r="B59" s="66" t="s">
        <v>1245</v>
      </c>
      <c r="C59" s="4">
        <v>17988.0</v>
      </c>
      <c r="D59" s="1" t="s">
        <v>451</v>
      </c>
      <c r="E59" s="1" t="s">
        <v>1199</v>
      </c>
      <c r="F59" s="1" t="str">
        <f t="shared" si="1"/>
        <v>12/10/24PK1028</v>
      </c>
      <c r="G59" s="1" t="str">
        <f>_xludf.IFNA(VLOOKUP(E59,Master!D:J,4,0),"")</f>
        <v>#NAME?</v>
      </c>
      <c r="H59" s="4">
        <v>3.0</v>
      </c>
      <c r="I59" s="25">
        <v>19000.0</v>
      </c>
      <c r="J59" s="5">
        <v>0.0</v>
      </c>
      <c r="K59" s="5">
        <f t="shared" si="2"/>
        <v>57000</v>
      </c>
      <c r="L59" s="4" t="s">
        <v>19</v>
      </c>
      <c r="M59" s="1" t="s">
        <v>1229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 t="s">
        <v>1244</v>
      </c>
      <c r="B60" s="66" t="s">
        <v>1245</v>
      </c>
      <c r="C60" s="4">
        <v>17988.0</v>
      </c>
      <c r="D60" s="1" t="s">
        <v>451</v>
      </c>
      <c r="E60" s="1" t="s">
        <v>1101</v>
      </c>
      <c r="F60" s="1" t="str">
        <f t="shared" si="1"/>
        <v>12/10/24PL4033</v>
      </c>
      <c r="G60" s="1" t="str">
        <f>_xludf.IFNA(VLOOKUP(E60,Master!D:J,4,0),"")</f>
        <v>#NAME?</v>
      </c>
      <c r="H60" s="4">
        <v>2.0</v>
      </c>
      <c r="I60" s="25">
        <v>12500.0</v>
      </c>
      <c r="J60" s="5">
        <v>0.0</v>
      </c>
      <c r="K60" s="5">
        <f t="shared" si="2"/>
        <v>25000</v>
      </c>
      <c r="L60" s="4" t="s">
        <v>19</v>
      </c>
      <c r="M60" s="1" t="s">
        <v>1229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 t="s">
        <v>1244</v>
      </c>
      <c r="B61" s="66" t="s">
        <v>1245</v>
      </c>
      <c r="C61" s="4">
        <v>17988.0</v>
      </c>
      <c r="D61" s="1" t="s">
        <v>451</v>
      </c>
      <c r="E61" s="1" t="s">
        <v>1027</v>
      </c>
      <c r="F61" s="1" t="str">
        <f t="shared" si="1"/>
        <v>12/10/24MT1014</v>
      </c>
      <c r="G61" s="1" t="str">
        <f>_xludf.IFNA(VLOOKUP(E61,Master!D:J,4,0),"")</f>
        <v>#NAME?</v>
      </c>
      <c r="H61" s="4">
        <v>10.0</v>
      </c>
      <c r="I61" s="25">
        <v>4000.0</v>
      </c>
      <c r="J61" s="5">
        <v>0.0</v>
      </c>
      <c r="K61" s="5">
        <f t="shared" si="2"/>
        <v>40000</v>
      </c>
      <c r="L61" s="4" t="s">
        <v>19</v>
      </c>
      <c r="M61" s="1" t="s">
        <v>1229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 t="s">
        <v>1244</v>
      </c>
      <c r="B62" s="66" t="s">
        <v>1246</v>
      </c>
      <c r="C62" s="4"/>
      <c r="D62" s="4" t="s">
        <v>1247</v>
      </c>
      <c r="E62" s="1" t="s">
        <v>1042</v>
      </c>
      <c r="F62" s="1" t="str">
        <f t="shared" si="1"/>
        <v>12/10/24MT1030</v>
      </c>
      <c r="G62" s="1" t="str">
        <f>_xludf.IFNA(VLOOKUP(E62,Master!D:J,4,0),"")</f>
        <v>#NAME?</v>
      </c>
      <c r="H62" s="4">
        <v>30.0</v>
      </c>
      <c r="I62" s="25">
        <v>6000.0</v>
      </c>
      <c r="J62" s="5">
        <v>0.0</v>
      </c>
      <c r="K62" s="5">
        <f t="shared" si="2"/>
        <v>180000</v>
      </c>
      <c r="L62" s="4" t="s">
        <v>19</v>
      </c>
      <c r="M62" s="1" t="s">
        <v>1229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 t="s">
        <v>1244</v>
      </c>
      <c r="B63" s="66" t="s">
        <v>1246</v>
      </c>
      <c r="C63" s="4"/>
      <c r="D63" s="4" t="s">
        <v>1247</v>
      </c>
      <c r="E63" s="1" t="s">
        <v>1042</v>
      </c>
      <c r="F63" s="1" t="str">
        <f t="shared" si="1"/>
        <v>12/10/24MT1030</v>
      </c>
      <c r="G63" s="1" t="str">
        <f>_xludf.IFNA(VLOOKUP(E63,Master!D:J,4,0),"")</f>
        <v>#NAME?</v>
      </c>
      <c r="H63" s="4">
        <v>3.0</v>
      </c>
      <c r="I63" s="25">
        <v>6000.0</v>
      </c>
      <c r="J63" s="5">
        <v>18000.0</v>
      </c>
      <c r="K63" s="5">
        <f t="shared" si="2"/>
        <v>0</v>
      </c>
      <c r="L63" s="4" t="s">
        <v>19</v>
      </c>
      <c r="M63" s="1" t="s">
        <v>1229</v>
      </c>
      <c r="N63" s="1" t="s">
        <v>1248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 t="s">
        <v>1244</v>
      </c>
      <c r="B64" s="66" t="s">
        <v>1246</v>
      </c>
      <c r="C64" s="4"/>
      <c r="D64" s="4"/>
      <c r="E64" s="1" t="s">
        <v>1026</v>
      </c>
      <c r="F64" s="1" t="str">
        <f t="shared" si="1"/>
        <v>12/10/24MT1013</v>
      </c>
      <c r="G64" s="1" t="str">
        <f>_xludf.IFNA(VLOOKUP(E64,Master!D:J,4,0),"")</f>
        <v>#NAME?</v>
      </c>
      <c r="H64" s="4">
        <v>1.0</v>
      </c>
      <c r="I64" s="25">
        <v>7000.0</v>
      </c>
      <c r="J64" s="5">
        <v>0.0</v>
      </c>
      <c r="K64" s="5">
        <f t="shared" si="2"/>
        <v>7000</v>
      </c>
      <c r="L64" s="4" t="s">
        <v>19</v>
      </c>
      <c r="M64" s="1" t="s">
        <v>1249</v>
      </c>
      <c r="N64" s="1" t="s">
        <v>1250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1244</v>
      </c>
      <c r="B65" s="66" t="s">
        <v>1246</v>
      </c>
      <c r="C65" s="4"/>
      <c r="D65" s="4"/>
      <c r="E65" s="1" t="s">
        <v>1032</v>
      </c>
      <c r="F65" s="1" t="str">
        <f t="shared" si="1"/>
        <v>12/10/24MT1019</v>
      </c>
      <c r="G65" s="1" t="str">
        <f>_xludf.IFNA(VLOOKUP(E65,Master!D:J,4,0),"")</f>
        <v>#NAME?</v>
      </c>
      <c r="H65" s="4">
        <v>8.0</v>
      </c>
      <c r="I65" s="25">
        <v>12000.0</v>
      </c>
      <c r="J65" s="5">
        <v>0.0</v>
      </c>
      <c r="K65" s="5">
        <f t="shared" si="2"/>
        <v>96000</v>
      </c>
      <c r="L65" s="4" t="s">
        <v>19</v>
      </c>
      <c r="M65" s="1" t="s">
        <v>1251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 t="s">
        <v>1244</v>
      </c>
      <c r="B66" s="66"/>
      <c r="C66" s="4"/>
      <c r="D66" s="4"/>
      <c r="E66" s="1"/>
      <c r="F66" s="1" t="str">
        <f t="shared" si="1"/>
        <v>12/10/24</v>
      </c>
      <c r="G66" s="1" t="str">
        <f>_xludf.IFNA(VLOOKUP(E66,Master!D:J,4,0),"")</f>
        <v>#NAME?</v>
      </c>
      <c r="H66" s="4"/>
      <c r="I66" s="25">
        <v>0.0</v>
      </c>
      <c r="J66" s="5">
        <v>0.0</v>
      </c>
      <c r="K66" s="5">
        <f t="shared" si="2"/>
        <v>0</v>
      </c>
      <c r="L66" s="4" t="s">
        <v>19</v>
      </c>
      <c r="M66" s="1" t="s">
        <v>1229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 t="s">
        <v>1244</v>
      </c>
      <c r="B67" s="66"/>
      <c r="C67" s="4"/>
      <c r="D67" s="4"/>
      <c r="E67" s="1"/>
      <c r="F67" s="1" t="str">
        <f t="shared" si="1"/>
        <v>12/10/24</v>
      </c>
      <c r="G67" s="1" t="str">
        <f>_xludf.IFNA(VLOOKUP(E67,Master!D:J,4,0),"")</f>
        <v>#NAME?</v>
      </c>
      <c r="H67" s="4"/>
      <c r="I67" s="25">
        <v>0.0</v>
      </c>
      <c r="J67" s="5">
        <v>0.0</v>
      </c>
      <c r="K67" s="5">
        <f t="shared" si="2"/>
        <v>0</v>
      </c>
      <c r="L67" s="4" t="s">
        <v>19</v>
      </c>
      <c r="M67" s="1" t="s">
        <v>1229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/>
      <c r="B68" s="2"/>
      <c r="C68" s="4"/>
      <c r="D68" s="4"/>
      <c r="E68" s="1"/>
      <c r="F68" s="1"/>
      <c r="G68" s="1"/>
      <c r="H68" s="4"/>
      <c r="I68" s="25"/>
      <c r="J68" s="5"/>
      <c r="K68" s="5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/>
      <c r="B69" s="2"/>
      <c r="C69" s="4"/>
      <c r="D69" s="4"/>
      <c r="E69" s="1"/>
      <c r="F69" s="1"/>
      <c r="G69" s="1"/>
      <c r="H69" s="4"/>
      <c r="I69" s="25"/>
      <c r="J69" s="5"/>
      <c r="K69" s="5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/>
      <c r="B70" s="2"/>
      <c r="C70" s="4"/>
      <c r="D70" s="4"/>
      <c r="E70" s="1"/>
      <c r="F70" s="1"/>
      <c r="G70" s="1"/>
      <c r="H70" s="4"/>
      <c r="I70" s="25"/>
      <c r="J70" s="5"/>
      <c r="K70" s="5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/>
      <c r="B71" s="2"/>
      <c r="C71" s="4"/>
      <c r="D71" s="4"/>
      <c r="E71" s="1"/>
      <c r="F71" s="1"/>
      <c r="G71" s="1"/>
      <c r="H71" s="4"/>
      <c r="I71" s="25"/>
      <c r="J71" s="5"/>
      <c r="K71" s="5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/>
      <c r="B72" s="2"/>
      <c r="C72" s="4"/>
      <c r="D72" s="1"/>
      <c r="E72" s="1"/>
      <c r="F72" s="1"/>
      <c r="G72" s="1"/>
      <c r="H72" s="4"/>
      <c r="I72" s="25"/>
      <c r="J72" s="5"/>
      <c r="K72" s="5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/>
      <c r="B73" s="2"/>
      <c r="C73" s="4"/>
      <c r="D73" s="1"/>
      <c r="E73" s="1"/>
      <c r="F73" s="1"/>
      <c r="G73" s="1"/>
      <c r="H73" s="4"/>
      <c r="I73" s="25"/>
      <c r="J73" s="5"/>
      <c r="K73" s="5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/>
      <c r="B74" s="2"/>
      <c r="C74" s="4"/>
      <c r="D74" s="1"/>
      <c r="E74" s="1"/>
      <c r="F74" s="1"/>
      <c r="G74" s="1"/>
      <c r="H74" s="4"/>
      <c r="I74" s="25"/>
      <c r="J74" s="5"/>
      <c r="K74" s="5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/>
      <c r="B75" s="2"/>
      <c r="C75" s="4"/>
      <c r="D75" s="1"/>
      <c r="E75" s="1"/>
      <c r="F75" s="1"/>
      <c r="G75" s="1"/>
      <c r="H75" s="4"/>
      <c r="I75" s="25"/>
      <c r="J75" s="5"/>
      <c r="K75" s="5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/>
      <c r="B76" s="2"/>
      <c r="C76" s="4"/>
      <c r="D76" s="1"/>
      <c r="E76" s="1"/>
      <c r="F76" s="1"/>
      <c r="G76" s="1"/>
      <c r="H76" s="4"/>
      <c r="I76" s="25"/>
      <c r="J76" s="5"/>
      <c r="K76" s="5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/>
      <c r="B77" s="2"/>
      <c r="C77" s="4"/>
      <c r="D77" s="1"/>
      <c r="E77" s="1"/>
      <c r="F77" s="1"/>
      <c r="G77" s="1"/>
      <c r="H77" s="4"/>
      <c r="I77" s="25"/>
      <c r="J77" s="5"/>
      <c r="K77" s="5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/>
      <c r="B78" s="2"/>
      <c r="C78" s="4"/>
      <c r="D78" s="4"/>
      <c r="E78" s="1"/>
      <c r="F78" s="1"/>
      <c r="G78" s="1"/>
      <c r="H78" s="4"/>
      <c r="I78" s="25"/>
      <c r="J78" s="5"/>
      <c r="K78" s="5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/>
      <c r="B79" s="2"/>
      <c r="C79" s="4"/>
      <c r="D79" s="4"/>
      <c r="E79" s="1"/>
      <c r="F79" s="1"/>
      <c r="G79" s="1"/>
      <c r="H79" s="4"/>
      <c r="I79" s="25"/>
      <c r="J79" s="5"/>
      <c r="K79" s="5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/>
      <c r="B80" s="2"/>
      <c r="C80" s="4"/>
      <c r="D80" s="4"/>
      <c r="E80" s="1"/>
      <c r="F80" s="1"/>
      <c r="G80" s="1"/>
      <c r="H80" s="4"/>
      <c r="I80" s="25"/>
      <c r="J80" s="5"/>
      <c r="K80" s="5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/>
      <c r="B81" s="2"/>
      <c r="C81" s="4"/>
      <c r="D81" s="4"/>
      <c r="E81" s="1"/>
      <c r="F81" s="1"/>
      <c r="G81" s="1"/>
      <c r="H81" s="4"/>
      <c r="I81" s="25"/>
      <c r="J81" s="5"/>
      <c r="K81" s="5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/>
      <c r="B82" s="2"/>
      <c r="C82" s="4"/>
      <c r="D82" s="4"/>
      <c r="E82" s="1"/>
      <c r="F82" s="1"/>
      <c r="G82" s="1"/>
      <c r="H82" s="4"/>
      <c r="I82" s="25"/>
      <c r="J82" s="5"/>
      <c r="K82" s="5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/>
      <c r="B83" s="2"/>
      <c r="C83" s="4"/>
      <c r="D83" s="4"/>
      <c r="E83" s="1"/>
      <c r="F83" s="1"/>
      <c r="G83" s="1"/>
      <c r="H83" s="4"/>
      <c r="I83" s="25"/>
      <c r="J83" s="5"/>
      <c r="K83" s="5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/>
      <c r="B84" s="2"/>
      <c r="C84" s="4"/>
      <c r="D84" s="4"/>
      <c r="E84" s="1"/>
      <c r="F84" s="1"/>
      <c r="G84" s="1"/>
      <c r="H84" s="4"/>
      <c r="I84" s="25"/>
      <c r="J84" s="5"/>
      <c r="K84" s="5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/>
      <c r="B85" s="2"/>
      <c r="C85" s="4"/>
      <c r="D85" s="4"/>
      <c r="E85" s="1"/>
      <c r="F85" s="1"/>
      <c r="G85" s="1"/>
      <c r="H85" s="4"/>
      <c r="I85" s="25"/>
      <c r="J85" s="5"/>
      <c r="K85" s="5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/>
      <c r="B86" s="2"/>
      <c r="C86" s="4"/>
      <c r="D86" s="4"/>
      <c r="E86" s="1"/>
      <c r="F86" s="1"/>
      <c r="G86" s="1"/>
      <c r="H86" s="4"/>
      <c r="I86" s="25"/>
      <c r="J86" s="5"/>
      <c r="K86" s="5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/>
      <c r="B87" s="2"/>
      <c r="C87" s="4"/>
      <c r="D87" s="1"/>
      <c r="E87" s="1"/>
      <c r="F87" s="1"/>
      <c r="G87" s="1"/>
      <c r="H87" s="4"/>
      <c r="I87" s="25"/>
      <c r="J87" s="5"/>
      <c r="K87" s="5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/>
      <c r="B88" s="2"/>
      <c r="C88" s="4"/>
      <c r="D88" s="1"/>
      <c r="E88" s="1"/>
      <c r="F88" s="1"/>
      <c r="G88" s="1"/>
      <c r="H88" s="4"/>
      <c r="I88" s="25"/>
      <c r="J88" s="5"/>
      <c r="K88" s="5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/>
      <c r="B89" s="2"/>
      <c r="C89" s="4"/>
      <c r="D89" s="1"/>
      <c r="E89" s="1"/>
      <c r="F89" s="1"/>
      <c r="G89" s="1"/>
      <c r="H89" s="4"/>
      <c r="I89" s="25"/>
      <c r="J89" s="5"/>
      <c r="K89" s="5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/>
      <c r="B90" s="2"/>
      <c r="C90" s="4"/>
      <c r="D90" s="4"/>
      <c r="E90" s="1"/>
      <c r="F90" s="1"/>
      <c r="G90" s="1"/>
      <c r="H90" s="4"/>
      <c r="I90" s="25"/>
      <c r="J90" s="5"/>
      <c r="K90" s="5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/>
      <c r="B91" s="2"/>
      <c r="C91" s="4"/>
      <c r="D91" s="4"/>
      <c r="E91" s="1"/>
      <c r="F91" s="1"/>
      <c r="G91" s="1"/>
      <c r="H91" s="4"/>
      <c r="I91" s="25"/>
      <c r="J91" s="5"/>
      <c r="K91" s="5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/>
      <c r="B92" s="2"/>
      <c r="C92" s="4"/>
      <c r="D92" s="4"/>
      <c r="E92" s="1"/>
      <c r="F92" s="1"/>
      <c r="G92" s="1"/>
      <c r="H92" s="4"/>
      <c r="I92" s="25"/>
      <c r="J92" s="5"/>
      <c r="K92" s="5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/>
      <c r="B93" s="2"/>
      <c r="C93" s="4"/>
      <c r="D93" s="4"/>
      <c r="E93" s="1"/>
      <c r="F93" s="1"/>
      <c r="G93" s="1"/>
      <c r="H93" s="4"/>
      <c r="I93" s="25"/>
      <c r="J93" s="5"/>
      <c r="K93" s="5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/>
      <c r="B94" s="2"/>
      <c r="C94" s="4"/>
      <c r="D94" s="1"/>
      <c r="E94" s="1"/>
      <c r="F94" s="1"/>
      <c r="G94" s="1"/>
      <c r="H94" s="4"/>
      <c r="I94" s="25"/>
      <c r="J94" s="5"/>
      <c r="K94" s="5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/>
      <c r="B95" s="2"/>
      <c r="C95" s="4"/>
      <c r="D95" s="1"/>
      <c r="E95" s="1"/>
      <c r="F95" s="1"/>
      <c r="G95" s="1"/>
      <c r="H95" s="4"/>
      <c r="I95" s="25"/>
      <c r="J95" s="5"/>
      <c r="K95" s="5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/>
      <c r="B96" s="2"/>
      <c r="C96" s="4"/>
      <c r="D96" s="1"/>
      <c r="E96" s="1"/>
      <c r="F96" s="1"/>
      <c r="G96" s="1"/>
      <c r="H96" s="4"/>
      <c r="I96" s="25"/>
      <c r="J96" s="5"/>
      <c r="K96" s="5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/>
      <c r="B97" s="2"/>
      <c r="C97" s="4"/>
      <c r="D97" s="1"/>
      <c r="E97" s="1"/>
      <c r="F97" s="1"/>
      <c r="G97" s="1"/>
      <c r="H97" s="4"/>
      <c r="I97" s="25"/>
      <c r="J97" s="5"/>
      <c r="K97" s="5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/>
      <c r="B98" s="2"/>
      <c r="C98" s="4"/>
      <c r="D98" s="1"/>
      <c r="E98" s="1"/>
      <c r="F98" s="1"/>
      <c r="G98" s="1"/>
      <c r="H98" s="4"/>
      <c r="I98" s="25"/>
      <c r="J98" s="5"/>
      <c r="K98" s="5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/>
      <c r="B99" s="2"/>
      <c r="C99" s="4"/>
      <c r="D99" s="1"/>
      <c r="E99" s="1"/>
      <c r="F99" s="1"/>
      <c r="G99" s="1"/>
      <c r="H99" s="4"/>
      <c r="I99" s="25"/>
      <c r="J99" s="5"/>
      <c r="K99" s="5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/>
      <c r="B100" s="2"/>
      <c r="C100" s="4"/>
      <c r="D100" s="1"/>
      <c r="E100" s="1"/>
      <c r="F100" s="1"/>
      <c r="G100" s="1"/>
      <c r="H100" s="4"/>
      <c r="I100" s="25"/>
      <c r="J100" s="5"/>
      <c r="K100" s="5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/>
      <c r="B101" s="2"/>
      <c r="C101" s="4"/>
      <c r="D101" s="1"/>
      <c r="E101" s="1"/>
      <c r="F101" s="1"/>
      <c r="G101" s="1"/>
      <c r="H101" s="4"/>
      <c r="I101" s="25"/>
      <c r="J101" s="5"/>
      <c r="K101" s="5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/>
      <c r="B102" s="2"/>
      <c r="C102" s="4"/>
      <c r="D102" s="1"/>
      <c r="E102" s="1"/>
      <c r="F102" s="1"/>
      <c r="G102" s="1"/>
      <c r="H102" s="4"/>
      <c r="I102" s="25"/>
      <c r="J102" s="5"/>
      <c r="K102" s="5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/>
      <c r="B103" s="2"/>
      <c r="C103" s="4"/>
      <c r="D103" s="1"/>
      <c r="E103" s="1"/>
      <c r="F103" s="1"/>
      <c r="G103" s="1"/>
      <c r="H103" s="4"/>
      <c r="I103" s="25"/>
      <c r="J103" s="5"/>
      <c r="K103" s="5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/>
      <c r="B104" s="2"/>
      <c r="C104" s="4"/>
      <c r="D104" s="1"/>
      <c r="E104" s="1"/>
      <c r="F104" s="1"/>
      <c r="G104" s="1"/>
      <c r="H104" s="4"/>
      <c r="I104" s="25"/>
      <c r="J104" s="5"/>
      <c r="K104" s="5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/>
      <c r="B105" s="2"/>
      <c r="C105" s="4"/>
      <c r="D105" s="1"/>
      <c r="E105" s="1"/>
      <c r="F105" s="1"/>
      <c r="G105" s="1"/>
      <c r="H105" s="4"/>
      <c r="I105" s="25"/>
      <c r="J105" s="5"/>
      <c r="K105" s="5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/>
      <c r="B106" s="2"/>
      <c r="C106" s="4"/>
      <c r="D106" s="4"/>
      <c r="E106" s="1"/>
      <c r="F106" s="1"/>
      <c r="G106" s="1"/>
      <c r="H106" s="4"/>
      <c r="I106" s="25"/>
      <c r="J106" s="5"/>
      <c r="K106" s="5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/>
      <c r="B107" s="2"/>
      <c r="C107" s="4"/>
      <c r="D107" s="4"/>
      <c r="E107" s="1"/>
      <c r="F107" s="1"/>
      <c r="G107" s="1"/>
      <c r="H107" s="4"/>
      <c r="I107" s="25"/>
      <c r="J107" s="5"/>
      <c r="K107" s="5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/>
      <c r="B108" s="2"/>
      <c r="C108" s="4"/>
      <c r="D108" s="4"/>
      <c r="E108" s="1"/>
      <c r="F108" s="1"/>
      <c r="G108" s="1"/>
      <c r="H108" s="4"/>
      <c r="I108" s="25"/>
      <c r="J108" s="5"/>
      <c r="K108" s="5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/>
      <c r="B109" s="2"/>
      <c r="C109" s="4"/>
      <c r="D109" s="4"/>
      <c r="E109" s="1"/>
      <c r="F109" s="1"/>
      <c r="G109" s="1"/>
      <c r="H109" s="4"/>
      <c r="I109" s="25"/>
      <c r="J109" s="5"/>
      <c r="K109" s="5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/>
      <c r="B110" s="2"/>
      <c r="C110" s="4"/>
      <c r="D110" s="4"/>
      <c r="E110" s="1"/>
      <c r="F110" s="1"/>
      <c r="G110" s="1"/>
      <c r="H110" s="4"/>
      <c r="I110" s="25"/>
      <c r="J110" s="5"/>
      <c r="K110" s="5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/>
      <c r="B111" s="2"/>
      <c r="C111" s="4"/>
      <c r="D111" s="4"/>
      <c r="E111" s="1"/>
      <c r="F111" s="1"/>
      <c r="G111" s="1"/>
      <c r="H111" s="4"/>
      <c r="I111" s="25"/>
      <c r="J111" s="5"/>
      <c r="K111" s="5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/>
      <c r="B112" s="2"/>
      <c r="C112" s="4"/>
      <c r="D112" s="4"/>
      <c r="E112" s="1"/>
      <c r="F112" s="1"/>
      <c r="G112" s="1"/>
      <c r="H112" s="4"/>
      <c r="I112" s="25"/>
      <c r="J112" s="5"/>
      <c r="K112" s="5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/>
      <c r="B113" s="2"/>
      <c r="C113" s="4"/>
      <c r="D113" s="4"/>
      <c r="E113" s="1"/>
      <c r="F113" s="1"/>
      <c r="G113" s="1"/>
      <c r="H113" s="4"/>
      <c r="I113" s="25"/>
      <c r="J113" s="5"/>
      <c r="K113" s="5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/>
      <c r="B114" s="2"/>
      <c r="C114" s="4"/>
      <c r="D114" s="4"/>
      <c r="E114" s="1"/>
      <c r="F114" s="1"/>
      <c r="G114" s="1"/>
      <c r="H114" s="4"/>
      <c r="I114" s="25"/>
      <c r="J114" s="5"/>
      <c r="K114" s="5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/>
      <c r="B115" s="2"/>
      <c r="C115" s="4"/>
      <c r="D115" s="4"/>
      <c r="E115" s="1"/>
      <c r="F115" s="1"/>
      <c r="G115" s="1"/>
      <c r="H115" s="4"/>
      <c r="I115" s="25"/>
      <c r="J115" s="5"/>
      <c r="K115" s="5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/>
      <c r="B116" s="2"/>
      <c r="C116" s="4"/>
      <c r="D116" s="4"/>
      <c r="E116" s="1"/>
      <c r="F116" s="1"/>
      <c r="G116" s="1"/>
      <c r="H116" s="4"/>
      <c r="I116" s="25"/>
      <c r="J116" s="5"/>
      <c r="K116" s="5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/>
      <c r="B117" s="2"/>
      <c r="C117" s="4"/>
      <c r="D117" s="4"/>
      <c r="E117" s="1"/>
      <c r="F117" s="1"/>
      <c r="G117" s="1"/>
      <c r="H117" s="4"/>
      <c r="I117" s="25"/>
      <c r="J117" s="5"/>
      <c r="K117" s="5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/>
      <c r="B118" s="2"/>
      <c r="C118" s="4"/>
      <c r="D118" s="4"/>
      <c r="E118" s="1"/>
      <c r="F118" s="1"/>
      <c r="G118" s="1"/>
      <c r="H118" s="4"/>
      <c r="I118" s="25"/>
      <c r="J118" s="5"/>
      <c r="K118" s="5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/>
      <c r="B119" s="2"/>
      <c r="C119" s="4"/>
      <c r="D119" s="4"/>
      <c r="E119" s="1"/>
      <c r="F119" s="1"/>
      <c r="G119" s="1"/>
      <c r="H119" s="4"/>
      <c r="I119" s="25"/>
      <c r="J119" s="5"/>
      <c r="K119" s="5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/>
      <c r="B120" s="2"/>
      <c r="C120" s="4"/>
      <c r="D120" s="4"/>
      <c r="E120" s="1"/>
      <c r="F120" s="1"/>
      <c r="G120" s="1"/>
      <c r="H120" s="4"/>
      <c r="I120" s="25"/>
      <c r="J120" s="5"/>
      <c r="K120" s="5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/>
      <c r="B121" s="2"/>
      <c r="C121" s="4"/>
      <c r="D121" s="4"/>
      <c r="E121" s="1"/>
      <c r="F121" s="1"/>
      <c r="G121" s="1"/>
      <c r="H121" s="4"/>
      <c r="I121" s="25"/>
      <c r="J121" s="5"/>
      <c r="K121" s="5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/>
      <c r="B122" s="2"/>
      <c r="C122" s="4"/>
      <c r="D122" s="4"/>
      <c r="E122" s="1"/>
      <c r="F122" s="1"/>
      <c r="G122" s="1"/>
      <c r="H122" s="4"/>
      <c r="I122" s="25"/>
      <c r="J122" s="5"/>
      <c r="K122" s="5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/>
      <c r="B123" s="2"/>
      <c r="C123" s="4"/>
      <c r="D123" s="4"/>
      <c r="E123" s="1"/>
      <c r="F123" s="1"/>
      <c r="G123" s="1"/>
      <c r="H123" s="4"/>
      <c r="I123" s="25"/>
      <c r="J123" s="5"/>
      <c r="K123" s="5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/>
      <c r="B124" s="2"/>
      <c r="C124" s="4"/>
      <c r="D124" s="4"/>
      <c r="E124" s="1"/>
      <c r="F124" s="1"/>
      <c r="G124" s="1"/>
      <c r="H124" s="4"/>
      <c r="I124" s="25"/>
      <c r="J124" s="5"/>
      <c r="K124" s="5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/>
      <c r="B125" s="2"/>
      <c r="C125" s="4"/>
      <c r="D125" s="1"/>
      <c r="E125" s="1"/>
      <c r="F125" s="1"/>
      <c r="G125" s="1"/>
      <c r="H125" s="4"/>
      <c r="I125" s="25"/>
      <c r="J125" s="5"/>
      <c r="K125" s="5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/>
      <c r="B126" s="2"/>
      <c r="C126" s="4"/>
      <c r="D126" s="1"/>
      <c r="E126" s="1"/>
      <c r="F126" s="1"/>
      <c r="G126" s="1"/>
      <c r="H126" s="4"/>
      <c r="I126" s="25"/>
      <c r="J126" s="5"/>
      <c r="K126" s="5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/>
      <c r="B127" s="2"/>
      <c r="C127" s="4"/>
      <c r="D127" s="1"/>
      <c r="E127" s="1"/>
      <c r="F127" s="1"/>
      <c r="G127" s="1"/>
      <c r="H127" s="4"/>
      <c r="I127" s="25"/>
      <c r="J127" s="5"/>
      <c r="K127" s="5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/>
      <c r="B128" s="2"/>
      <c r="C128" s="4"/>
      <c r="D128" s="1"/>
      <c r="E128" s="1"/>
      <c r="F128" s="1"/>
      <c r="G128" s="1"/>
      <c r="H128" s="4"/>
      <c r="I128" s="25"/>
      <c r="J128" s="5"/>
      <c r="K128" s="5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/>
      <c r="B129" s="2"/>
      <c r="C129" s="4"/>
      <c r="D129" s="1"/>
      <c r="E129" s="1"/>
      <c r="F129" s="1"/>
      <c r="G129" s="1"/>
      <c r="H129" s="4"/>
      <c r="I129" s="25"/>
      <c r="J129" s="5"/>
      <c r="K129" s="5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/>
      <c r="B130" s="2"/>
      <c r="C130" s="4"/>
      <c r="D130" s="1"/>
      <c r="E130" s="50"/>
      <c r="F130" s="1"/>
      <c r="G130" s="1"/>
      <c r="H130" s="4"/>
      <c r="I130" s="25"/>
      <c r="J130" s="5"/>
      <c r="K130" s="5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/>
      <c r="B131" s="2"/>
      <c r="C131" s="4"/>
      <c r="D131" s="1"/>
      <c r="E131" s="50"/>
      <c r="F131" s="1"/>
      <c r="G131" s="1"/>
      <c r="H131" s="4"/>
      <c r="I131" s="25"/>
      <c r="J131" s="5"/>
      <c r="K131" s="5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/>
      <c r="B132" s="2"/>
      <c r="C132" s="4"/>
      <c r="D132" s="1"/>
      <c r="E132" s="50"/>
      <c r="F132" s="1"/>
      <c r="G132" s="1"/>
      <c r="H132" s="4"/>
      <c r="I132" s="25"/>
      <c r="J132" s="5"/>
      <c r="K132" s="5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/>
      <c r="B133" s="2"/>
      <c r="C133" s="4"/>
      <c r="D133" s="1"/>
      <c r="E133" s="50"/>
      <c r="F133" s="1"/>
      <c r="G133" s="1"/>
      <c r="H133" s="4"/>
      <c r="I133" s="25"/>
      <c r="J133" s="5"/>
      <c r="K133" s="5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/>
      <c r="B134" s="2"/>
      <c r="C134" s="4"/>
      <c r="D134" s="1"/>
      <c r="E134" s="50"/>
      <c r="F134" s="1"/>
      <c r="G134" s="1"/>
      <c r="H134" s="4"/>
      <c r="I134" s="25"/>
      <c r="J134" s="5"/>
      <c r="K134" s="5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/>
      <c r="B135" s="2"/>
      <c r="C135" s="4"/>
      <c r="D135" s="1"/>
      <c r="E135" s="50"/>
      <c r="F135" s="1"/>
      <c r="G135" s="1"/>
      <c r="H135" s="4"/>
      <c r="I135" s="25"/>
      <c r="J135" s="5"/>
      <c r="K135" s="5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/>
      <c r="B136" s="2"/>
      <c r="C136" s="4"/>
      <c r="D136" s="1"/>
      <c r="E136" s="50"/>
      <c r="F136" s="1"/>
      <c r="G136" s="1"/>
      <c r="H136" s="4"/>
      <c r="I136" s="25"/>
      <c r="J136" s="5"/>
      <c r="K136" s="5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/>
      <c r="B137" s="2"/>
      <c r="C137" s="4"/>
      <c r="D137" s="1"/>
      <c r="E137" s="50"/>
      <c r="F137" s="1"/>
      <c r="G137" s="1"/>
      <c r="H137" s="4"/>
      <c r="I137" s="25"/>
      <c r="J137" s="5"/>
      <c r="K137" s="5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/>
      <c r="B138" s="2"/>
      <c r="C138" s="4"/>
      <c r="D138" s="1"/>
      <c r="E138" s="50"/>
      <c r="F138" s="1"/>
      <c r="G138" s="1"/>
      <c r="H138" s="4"/>
      <c r="I138" s="25"/>
      <c r="J138" s="5"/>
      <c r="K138" s="5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/>
      <c r="B139" s="2"/>
      <c r="C139" s="4"/>
      <c r="D139" s="1"/>
      <c r="E139" s="50"/>
      <c r="F139" s="1"/>
      <c r="G139" s="1"/>
      <c r="H139" s="4"/>
      <c r="I139" s="25"/>
      <c r="J139" s="5"/>
      <c r="K139" s="5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/>
      <c r="B140" s="2"/>
      <c r="C140" s="4"/>
      <c r="D140" s="1"/>
      <c r="E140" s="50"/>
      <c r="F140" s="1"/>
      <c r="G140" s="1"/>
      <c r="H140" s="4"/>
      <c r="I140" s="25"/>
      <c r="J140" s="5"/>
      <c r="K140" s="5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/>
      <c r="B141" s="2"/>
      <c r="C141" s="4"/>
      <c r="D141" s="1"/>
      <c r="E141" s="1"/>
      <c r="F141" s="1"/>
      <c r="G141" s="1"/>
      <c r="H141" s="4"/>
      <c r="I141" s="25"/>
      <c r="J141" s="5"/>
      <c r="K141" s="5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/>
      <c r="B142" s="2"/>
      <c r="C142" s="4"/>
      <c r="D142" s="1"/>
      <c r="E142" s="1"/>
      <c r="F142" s="1"/>
      <c r="G142" s="1"/>
      <c r="H142" s="4"/>
      <c r="I142" s="25"/>
      <c r="J142" s="5"/>
      <c r="K142" s="5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/>
      <c r="B143" s="2"/>
      <c r="C143" s="4"/>
      <c r="D143" s="1"/>
      <c r="E143" s="1"/>
      <c r="F143" s="1"/>
      <c r="G143" s="1"/>
      <c r="H143" s="4"/>
      <c r="I143" s="25"/>
      <c r="J143" s="5"/>
      <c r="K143" s="5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/>
      <c r="B144" s="2"/>
      <c r="C144" s="4"/>
      <c r="D144" s="1"/>
      <c r="E144" s="1"/>
      <c r="F144" s="1"/>
      <c r="G144" s="1"/>
      <c r="H144" s="4"/>
      <c r="I144" s="25"/>
      <c r="J144" s="5"/>
      <c r="K144" s="5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/>
      <c r="B145" s="2"/>
      <c r="C145" s="4"/>
      <c r="D145" s="1"/>
      <c r="E145" s="1"/>
      <c r="F145" s="1"/>
      <c r="G145" s="1"/>
      <c r="H145" s="4"/>
      <c r="I145" s="25"/>
      <c r="J145" s="5"/>
      <c r="K145" s="5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/>
      <c r="B146" s="2"/>
      <c r="C146" s="4"/>
      <c r="D146" s="1"/>
      <c r="E146" s="1"/>
      <c r="F146" s="1"/>
      <c r="G146" s="1"/>
      <c r="H146" s="4"/>
      <c r="I146" s="25"/>
      <c r="J146" s="5"/>
      <c r="K146" s="5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/>
      <c r="B147" s="2"/>
      <c r="C147" s="4"/>
      <c r="D147" s="1"/>
      <c r="E147" s="1"/>
      <c r="F147" s="1"/>
      <c r="G147" s="1"/>
      <c r="H147" s="4"/>
      <c r="I147" s="25"/>
      <c r="J147" s="5"/>
      <c r="K147" s="5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/>
      <c r="B148" s="2"/>
      <c r="C148" s="4"/>
      <c r="D148" s="1"/>
      <c r="E148" s="1"/>
      <c r="F148" s="1"/>
      <c r="G148" s="1"/>
      <c r="H148" s="4"/>
      <c r="I148" s="25"/>
      <c r="J148" s="5"/>
      <c r="K148" s="5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/>
      <c r="B149" s="2"/>
      <c r="C149" s="4"/>
      <c r="D149" s="1"/>
      <c r="E149" s="1"/>
      <c r="F149" s="1"/>
      <c r="G149" s="1"/>
      <c r="H149" s="4"/>
      <c r="I149" s="25"/>
      <c r="J149" s="5"/>
      <c r="K149" s="5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/>
      <c r="B150" s="2"/>
      <c r="C150" s="4"/>
      <c r="D150" s="1"/>
      <c r="E150" s="1"/>
      <c r="F150" s="1"/>
      <c r="G150" s="1"/>
      <c r="H150" s="4"/>
      <c r="I150" s="25"/>
      <c r="J150" s="5"/>
      <c r="K150" s="5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/>
      <c r="B151" s="2"/>
      <c r="C151" s="4"/>
      <c r="D151" s="1"/>
      <c r="E151" s="1"/>
      <c r="F151" s="1"/>
      <c r="G151" s="1"/>
      <c r="H151" s="4"/>
      <c r="I151" s="25"/>
      <c r="J151" s="5"/>
      <c r="K151" s="5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/>
      <c r="B152" s="2"/>
      <c r="C152" s="4"/>
      <c r="D152" s="1"/>
      <c r="E152" s="1"/>
      <c r="F152" s="1"/>
      <c r="G152" s="1"/>
      <c r="H152" s="4"/>
      <c r="I152" s="25"/>
      <c r="J152" s="5"/>
      <c r="K152" s="5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/>
      <c r="B153" s="2"/>
      <c r="C153" s="4"/>
      <c r="D153" s="1"/>
      <c r="E153" s="1"/>
      <c r="F153" s="1"/>
      <c r="G153" s="1"/>
      <c r="H153" s="4"/>
      <c r="I153" s="25"/>
      <c r="J153" s="5"/>
      <c r="K153" s="5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/>
      <c r="B154" s="2"/>
      <c r="C154" s="4"/>
      <c r="D154" s="1"/>
      <c r="E154" s="1"/>
      <c r="F154" s="1"/>
      <c r="G154" s="1"/>
      <c r="H154" s="4"/>
      <c r="I154" s="25"/>
      <c r="J154" s="5"/>
      <c r="K154" s="5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/>
      <c r="B155" s="2"/>
      <c r="C155" s="4"/>
      <c r="D155" s="1"/>
      <c r="E155" s="1"/>
      <c r="F155" s="1"/>
      <c r="G155" s="1"/>
      <c r="H155" s="4"/>
      <c r="I155" s="25"/>
      <c r="J155" s="5"/>
      <c r="K155" s="5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/>
      <c r="B156" s="2"/>
      <c r="C156" s="4"/>
      <c r="D156" s="1"/>
      <c r="E156" s="1"/>
      <c r="F156" s="1"/>
      <c r="G156" s="1"/>
      <c r="H156" s="4"/>
      <c r="I156" s="25"/>
      <c r="J156" s="5"/>
      <c r="K156" s="5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/>
      <c r="B157" s="2"/>
      <c r="C157" s="4"/>
      <c r="D157" s="1"/>
      <c r="E157" s="1"/>
      <c r="F157" s="1"/>
      <c r="G157" s="1"/>
      <c r="H157" s="4"/>
      <c r="I157" s="25"/>
      <c r="J157" s="5"/>
      <c r="K157" s="5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/>
      <c r="B158" s="2"/>
      <c r="C158" s="4"/>
      <c r="D158" s="1"/>
      <c r="E158" s="1"/>
      <c r="F158" s="1"/>
      <c r="G158" s="1"/>
      <c r="H158" s="4"/>
      <c r="I158" s="25"/>
      <c r="J158" s="5"/>
      <c r="K158" s="5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/>
      <c r="B159" s="2"/>
      <c r="C159" s="4"/>
      <c r="D159" s="1"/>
      <c r="E159" s="1"/>
      <c r="F159" s="1"/>
      <c r="G159" s="1"/>
      <c r="H159" s="4"/>
      <c r="I159" s="25"/>
      <c r="J159" s="5"/>
      <c r="K159" s="5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/>
      <c r="B160" s="2"/>
      <c r="C160" s="4"/>
      <c r="D160" s="1"/>
      <c r="E160" s="1"/>
      <c r="F160" s="1"/>
      <c r="G160" s="1"/>
      <c r="H160" s="4"/>
      <c r="I160" s="25"/>
      <c r="J160" s="5"/>
      <c r="K160" s="5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/>
      <c r="B161" s="2"/>
      <c r="C161" s="4"/>
      <c r="D161" s="1"/>
      <c r="E161" s="1"/>
      <c r="F161" s="1"/>
      <c r="G161" s="1"/>
      <c r="H161" s="4"/>
      <c r="I161" s="25"/>
      <c r="J161" s="5"/>
      <c r="K161" s="5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/>
      <c r="B162" s="2"/>
      <c r="C162" s="4"/>
      <c r="D162" s="1"/>
      <c r="E162" s="1"/>
      <c r="F162" s="1"/>
      <c r="G162" s="1"/>
      <c r="H162" s="4"/>
      <c r="I162" s="25"/>
      <c r="J162" s="5"/>
      <c r="K162" s="5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/>
      <c r="B163" s="2"/>
      <c r="C163" s="4"/>
      <c r="D163" s="1"/>
      <c r="E163" s="1"/>
      <c r="F163" s="1"/>
      <c r="G163" s="1"/>
      <c r="H163" s="4"/>
      <c r="I163" s="25"/>
      <c r="J163" s="5"/>
      <c r="K163" s="5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/>
      <c r="B164" s="2"/>
      <c r="C164" s="4"/>
      <c r="D164" s="1"/>
      <c r="E164" s="1"/>
      <c r="F164" s="1"/>
      <c r="G164" s="1"/>
      <c r="H164" s="4"/>
      <c r="I164" s="25"/>
      <c r="J164" s="5"/>
      <c r="K164" s="5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/>
      <c r="B165" s="2"/>
      <c r="C165" s="4"/>
      <c r="D165" s="1"/>
      <c r="E165" s="1"/>
      <c r="F165" s="1"/>
      <c r="G165" s="1"/>
      <c r="H165" s="4"/>
      <c r="I165" s="25"/>
      <c r="J165" s="5"/>
      <c r="K165" s="5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/>
      <c r="B166" s="2"/>
      <c r="C166" s="4"/>
      <c r="D166" s="1"/>
      <c r="E166" s="1"/>
      <c r="F166" s="1"/>
      <c r="G166" s="1"/>
      <c r="H166" s="4"/>
      <c r="I166" s="25"/>
      <c r="J166" s="5"/>
      <c r="K166" s="5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/>
      <c r="B167" s="2"/>
      <c r="C167" s="4"/>
      <c r="D167" s="1"/>
      <c r="E167" s="1"/>
      <c r="F167" s="1"/>
      <c r="G167" s="1"/>
      <c r="H167" s="4"/>
      <c r="I167" s="25"/>
      <c r="J167" s="5"/>
      <c r="K167" s="5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/>
      <c r="B168" s="2"/>
      <c r="C168" s="4"/>
      <c r="D168" s="1"/>
      <c r="E168" s="1"/>
      <c r="F168" s="1"/>
      <c r="G168" s="1"/>
      <c r="H168" s="4"/>
      <c r="I168" s="25"/>
      <c r="J168" s="5"/>
      <c r="K168" s="5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/>
      <c r="B169" s="2"/>
      <c r="C169" s="4"/>
      <c r="D169" s="1"/>
      <c r="E169" s="1"/>
      <c r="F169" s="1"/>
      <c r="G169" s="1"/>
      <c r="H169" s="4"/>
      <c r="I169" s="25"/>
      <c r="J169" s="5"/>
      <c r="K169" s="5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/>
      <c r="B170" s="2"/>
      <c r="C170" s="4"/>
      <c r="D170" s="1"/>
      <c r="E170" s="1"/>
      <c r="F170" s="1"/>
      <c r="G170" s="1"/>
      <c r="H170" s="4"/>
      <c r="I170" s="25"/>
      <c r="J170" s="5"/>
      <c r="K170" s="5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/>
      <c r="B171" s="2"/>
      <c r="C171" s="4"/>
      <c r="D171" s="1"/>
      <c r="E171" s="1"/>
      <c r="F171" s="1"/>
      <c r="G171" s="1"/>
      <c r="H171" s="4"/>
      <c r="I171" s="25"/>
      <c r="J171" s="5"/>
      <c r="K171" s="5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/>
      <c r="B172" s="2"/>
      <c r="C172" s="4"/>
      <c r="D172" s="1"/>
      <c r="E172" s="1"/>
      <c r="F172" s="1"/>
      <c r="G172" s="1"/>
      <c r="H172" s="4"/>
      <c r="I172" s="25"/>
      <c r="J172" s="5"/>
      <c r="K172" s="5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/>
      <c r="B173" s="2"/>
      <c r="C173" s="4"/>
      <c r="D173" s="1"/>
      <c r="E173" s="1"/>
      <c r="F173" s="1"/>
      <c r="G173" s="1"/>
      <c r="H173" s="4"/>
      <c r="I173" s="25"/>
      <c r="J173" s="5"/>
      <c r="K173" s="5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/>
      <c r="B174" s="2"/>
      <c r="C174" s="4"/>
      <c r="D174" s="1"/>
      <c r="E174" s="1"/>
      <c r="F174" s="1"/>
      <c r="G174" s="1"/>
      <c r="H174" s="4"/>
      <c r="I174" s="25"/>
      <c r="J174" s="5"/>
      <c r="K174" s="5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/>
      <c r="B175" s="2"/>
      <c r="C175" s="4"/>
      <c r="D175" s="1"/>
      <c r="E175" s="1"/>
      <c r="F175" s="1"/>
      <c r="G175" s="1"/>
      <c r="H175" s="4"/>
      <c r="I175" s="25"/>
      <c r="J175" s="5"/>
      <c r="K175" s="5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/>
      <c r="B176" s="2"/>
      <c r="C176" s="4"/>
      <c r="D176" s="1"/>
      <c r="E176" s="1"/>
      <c r="F176" s="1"/>
      <c r="G176" s="1"/>
      <c r="H176" s="4"/>
      <c r="I176" s="25"/>
      <c r="J176" s="5"/>
      <c r="K176" s="5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/>
      <c r="B177" s="2"/>
      <c r="C177" s="4"/>
      <c r="D177" s="1"/>
      <c r="E177" s="1"/>
      <c r="F177" s="1"/>
      <c r="G177" s="1"/>
      <c r="H177" s="4"/>
      <c r="I177" s="25"/>
      <c r="J177" s="5"/>
      <c r="K177" s="5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/>
      <c r="B178" s="2"/>
      <c r="C178" s="4"/>
      <c r="D178" s="1"/>
      <c r="E178" s="1"/>
      <c r="F178" s="1"/>
      <c r="G178" s="1"/>
      <c r="H178" s="4"/>
      <c r="I178" s="1"/>
      <c r="J178" s="5"/>
      <c r="K178" s="5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4"/>
      <c r="D179" s="1"/>
      <c r="E179" s="1"/>
      <c r="F179" s="1" t="str">
        <f t="shared" ref="F179:F180" si="3">A179&amp;E179</f>
        <v/>
      </c>
      <c r="G179" s="1" t="str">
        <f>_xludf.IFNA(VLOOKUP(E179,Master!D:J,4,0),"")</f>
        <v>#NAME?</v>
      </c>
      <c r="H179" s="4"/>
      <c r="I179" s="2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4"/>
      <c r="D180" s="1"/>
      <c r="E180" s="1"/>
      <c r="F180" s="1" t="str">
        <f t="shared" si="3"/>
        <v/>
      </c>
      <c r="G180" s="1" t="str">
        <f>_xludf.IFNA(VLOOKUP(E180,Master!D:J,4,0),"")</f>
        <v>#NAME?</v>
      </c>
      <c r="H180" s="4"/>
      <c r="I180" s="2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4"/>
      <c r="D181" s="1"/>
      <c r="E181" s="1"/>
      <c r="F181" s="1"/>
      <c r="G181" s="1"/>
      <c r="H181" s="4"/>
      <c r="I181" s="2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4"/>
      <c r="D182" s="1"/>
      <c r="E182" s="1"/>
      <c r="F182" s="1"/>
      <c r="G182" s="1"/>
      <c r="H182" s="4"/>
      <c r="I182" s="2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4"/>
      <c r="D183" s="1"/>
      <c r="E183" s="1"/>
      <c r="F183" s="1"/>
      <c r="G183" s="1"/>
      <c r="H183" s="4"/>
      <c r="I183" s="2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4"/>
      <c r="D184" s="1"/>
      <c r="E184" s="1"/>
      <c r="F184" s="1"/>
      <c r="G184" s="1"/>
      <c r="H184" s="4"/>
      <c r="I184" s="2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4"/>
      <c r="D185" s="1"/>
      <c r="E185" s="1"/>
      <c r="F185" s="1"/>
      <c r="G185" s="1"/>
      <c r="H185" s="4"/>
      <c r="I185" s="2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4"/>
      <c r="D186" s="1"/>
      <c r="E186" s="1"/>
      <c r="F186" s="1"/>
      <c r="G186" s="1"/>
      <c r="H186" s="4"/>
      <c r="I186" s="2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4"/>
      <c r="D187" s="1"/>
      <c r="E187" s="1"/>
      <c r="F187" s="1"/>
      <c r="G187" s="1"/>
      <c r="H187" s="4"/>
      <c r="I187" s="2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4"/>
      <c r="D188" s="1"/>
      <c r="E188" s="1"/>
      <c r="F188" s="1"/>
      <c r="G188" s="1"/>
      <c r="H188" s="4"/>
      <c r="I188" s="2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4"/>
      <c r="D189" s="1"/>
      <c r="E189" s="1"/>
      <c r="F189" s="1"/>
      <c r="G189" s="1"/>
      <c r="H189" s="4"/>
      <c r="I189" s="2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4"/>
      <c r="D190" s="1"/>
      <c r="E190" s="1"/>
      <c r="F190" s="1"/>
      <c r="G190" s="1"/>
      <c r="H190" s="4"/>
      <c r="I190" s="2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4"/>
      <c r="D191" s="1"/>
      <c r="E191" s="1"/>
      <c r="F191" s="1"/>
      <c r="G191" s="1"/>
      <c r="H191" s="4"/>
      <c r="I191" s="2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4"/>
      <c r="D192" s="1"/>
      <c r="E192" s="1"/>
      <c r="F192" s="1"/>
      <c r="G192" s="1"/>
      <c r="H192" s="4"/>
      <c r="I192" s="2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4"/>
      <c r="D193" s="1"/>
      <c r="E193" s="1"/>
      <c r="F193" s="1"/>
      <c r="G193" s="1"/>
      <c r="H193" s="4"/>
      <c r="I193" s="2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4"/>
      <c r="D194" s="1"/>
      <c r="E194" s="1"/>
      <c r="F194" s="1"/>
      <c r="G194" s="1"/>
      <c r="H194" s="4"/>
      <c r="I194" s="2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4"/>
      <c r="D195" s="1"/>
      <c r="E195" s="1"/>
      <c r="F195" s="1"/>
      <c r="G195" s="1"/>
      <c r="H195" s="4"/>
      <c r="I195" s="2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4"/>
      <c r="D196" s="1"/>
      <c r="E196" s="1"/>
      <c r="F196" s="1"/>
      <c r="G196" s="1"/>
      <c r="H196" s="4"/>
      <c r="I196" s="2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4"/>
      <c r="D197" s="1"/>
      <c r="E197" s="1"/>
      <c r="F197" s="1"/>
      <c r="G197" s="1"/>
      <c r="H197" s="4"/>
      <c r="I197" s="2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4"/>
      <c r="D198" s="1"/>
      <c r="E198" s="1"/>
      <c r="F198" s="1"/>
      <c r="G198" s="1"/>
      <c r="H198" s="4"/>
      <c r="I198" s="2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4"/>
      <c r="D199" s="1"/>
      <c r="E199" s="1"/>
      <c r="F199" s="1"/>
      <c r="G199" s="1"/>
      <c r="H199" s="4"/>
      <c r="I199" s="2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4"/>
      <c r="D200" s="1"/>
      <c r="E200" s="1"/>
      <c r="F200" s="1"/>
      <c r="G200" s="1"/>
      <c r="H200" s="4"/>
      <c r="I200" s="2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4"/>
      <c r="D201" s="1"/>
      <c r="E201" s="1"/>
      <c r="F201" s="1"/>
      <c r="G201" s="1"/>
      <c r="H201" s="4"/>
      <c r="I201" s="2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4"/>
      <c r="D202" s="1"/>
      <c r="E202" s="1"/>
      <c r="F202" s="1"/>
      <c r="G202" s="1"/>
      <c r="H202" s="4"/>
      <c r="I202" s="2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4"/>
      <c r="D203" s="1"/>
      <c r="E203" s="1"/>
      <c r="F203" s="1"/>
      <c r="G203" s="1"/>
      <c r="H203" s="4"/>
      <c r="I203" s="2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4"/>
      <c r="D204" s="1"/>
      <c r="E204" s="1"/>
      <c r="F204" s="1"/>
      <c r="G204" s="1"/>
      <c r="H204" s="4"/>
      <c r="I204" s="2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4"/>
      <c r="D205" s="1"/>
      <c r="E205" s="1"/>
      <c r="F205" s="1"/>
      <c r="G205" s="1"/>
      <c r="H205" s="4"/>
      <c r="I205" s="2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4"/>
      <c r="D206" s="1"/>
      <c r="E206" s="1"/>
      <c r="F206" s="1"/>
      <c r="G206" s="1"/>
      <c r="H206" s="4"/>
      <c r="I206" s="2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4"/>
      <c r="D207" s="1"/>
      <c r="E207" s="1"/>
      <c r="F207" s="1"/>
      <c r="G207" s="1"/>
      <c r="H207" s="4"/>
      <c r="I207" s="2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4"/>
      <c r="D208" s="1"/>
      <c r="E208" s="1"/>
      <c r="F208" s="1"/>
      <c r="G208" s="1"/>
      <c r="H208" s="4"/>
      <c r="I208" s="2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4"/>
      <c r="D209" s="1"/>
      <c r="E209" s="1"/>
      <c r="F209" s="1"/>
      <c r="G209" s="1"/>
      <c r="H209" s="4"/>
      <c r="I209" s="2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4"/>
      <c r="D210" s="1"/>
      <c r="E210" s="1"/>
      <c r="F210" s="1"/>
      <c r="G210" s="1"/>
      <c r="H210" s="4"/>
      <c r="I210" s="2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4"/>
      <c r="D211" s="1"/>
      <c r="E211" s="1"/>
      <c r="F211" s="1"/>
      <c r="G211" s="1"/>
      <c r="H211" s="4"/>
      <c r="I211" s="2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4"/>
      <c r="D212" s="1"/>
      <c r="E212" s="1"/>
      <c r="F212" s="1"/>
      <c r="G212" s="1"/>
      <c r="H212" s="4"/>
      <c r="I212" s="2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4"/>
      <c r="D213" s="1"/>
      <c r="E213" s="1"/>
      <c r="F213" s="1"/>
      <c r="G213" s="1"/>
      <c r="H213" s="4"/>
      <c r="I213" s="2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4"/>
      <c r="D214" s="1"/>
      <c r="E214" s="1"/>
      <c r="F214" s="1"/>
      <c r="G214" s="1"/>
      <c r="H214" s="4"/>
      <c r="I214" s="2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4"/>
      <c r="D215" s="1"/>
      <c r="E215" s="1"/>
      <c r="F215" s="1"/>
      <c r="G215" s="1"/>
      <c r="H215" s="4"/>
      <c r="I215" s="2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4"/>
      <c r="D216" s="1"/>
      <c r="E216" s="1"/>
      <c r="F216" s="1"/>
      <c r="G216" s="1"/>
      <c r="H216" s="4"/>
      <c r="I216" s="2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4"/>
      <c r="D217" s="1"/>
      <c r="E217" s="1"/>
      <c r="F217" s="1"/>
      <c r="G217" s="1"/>
      <c r="H217" s="4"/>
      <c r="I217" s="2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4"/>
      <c r="D218" s="1"/>
      <c r="E218" s="1"/>
      <c r="F218" s="1"/>
      <c r="G218" s="1"/>
      <c r="H218" s="4"/>
      <c r="I218" s="2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4"/>
      <c r="D219" s="1"/>
      <c r="E219" s="1"/>
      <c r="F219" s="1"/>
      <c r="G219" s="1"/>
      <c r="H219" s="4"/>
      <c r="I219" s="2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4"/>
      <c r="D220" s="1"/>
      <c r="E220" s="1"/>
      <c r="F220" s="1"/>
      <c r="G220" s="1"/>
      <c r="H220" s="4"/>
      <c r="I220" s="2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4"/>
      <c r="D221" s="1"/>
      <c r="E221" s="1"/>
      <c r="F221" s="1"/>
      <c r="G221" s="1"/>
      <c r="H221" s="4"/>
      <c r="I221" s="2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4"/>
      <c r="D222" s="1"/>
      <c r="E222" s="1"/>
      <c r="F222" s="1"/>
      <c r="G222" s="1"/>
      <c r="H222" s="4"/>
      <c r="I222" s="2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4"/>
      <c r="D223" s="1"/>
      <c r="E223" s="1"/>
      <c r="F223" s="1"/>
      <c r="G223" s="1"/>
      <c r="H223" s="4"/>
      <c r="I223" s="2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4"/>
      <c r="D224" s="1"/>
      <c r="E224" s="1"/>
      <c r="F224" s="1"/>
      <c r="G224" s="1"/>
      <c r="H224" s="4"/>
      <c r="I224" s="2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4"/>
      <c r="D225" s="1"/>
      <c r="E225" s="1"/>
      <c r="F225" s="1"/>
      <c r="G225" s="1"/>
      <c r="H225" s="4"/>
      <c r="I225" s="2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4"/>
      <c r="D226" s="1"/>
      <c r="E226" s="1"/>
      <c r="F226" s="1"/>
      <c r="G226" s="1"/>
      <c r="H226" s="4"/>
      <c r="I226" s="2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4"/>
      <c r="D227" s="1"/>
      <c r="E227" s="1"/>
      <c r="F227" s="1"/>
      <c r="G227" s="1"/>
      <c r="H227" s="4"/>
      <c r="I227" s="2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4"/>
      <c r="D228" s="1"/>
      <c r="E228" s="1"/>
      <c r="F228" s="1"/>
      <c r="G228" s="1"/>
      <c r="H228" s="4"/>
      <c r="I228" s="2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4"/>
      <c r="D229" s="1"/>
      <c r="E229" s="1"/>
      <c r="F229" s="1"/>
      <c r="G229" s="1"/>
      <c r="H229" s="4"/>
      <c r="I229" s="2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4"/>
      <c r="D230" s="1"/>
      <c r="E230" s="1"/>
      <c r="F230" s="1"/>
      <c r="G230" s="1"/>
      <c r="H230" s="4"/>
      <c r="I230" s="2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4"/>
      <c r="D231" s="1"/>
      <c r="E231" s="1"/>
      <c r="F231" s="1"/>
      <c r="G231" s="1"/>
      <c r="H231" s="4"/>
      <c r="I231" s="2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4"/>
      <c r="D232" s="1"/>
      <c r="E232" s="1"/>
      <c r="F232" s="1"/>
      <c r="G232" s="1"/>
      <c r="H232" s="4"/>
      <c r="I232" s="2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4"/>
      <c r="D233" s="1"/>
      <c r="E233" s="1"/>
      <c r="F233" s="1"/>
      <c r="G233" s="1"/>
      <c r="H233" s="4"/>
      <c r="I233" s="2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4"/>
      <c r="D234" s="1"/>
      <c r="E234" s="1"/>
      <c r="F234" s="1"/>
      <c r="G234" s="1"/>
      <c r="H234" s="4"/>
      <c r="I234" s="2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4"/>
      <c r="D235" s="1"/>
      <c r="E235" s="1"/>
      <c r="F235" s="1"/>
      <c r="G235" s="1"/>
      <c r="H235" s="4"/>
      <c r="I235" s="2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4"/>
      <c r="D236" s="1"/>
      <c r="E236" s="1"/>
      <c r="F236" s="1"/>
      <c r="G236" s="1"/>
      <c r="H236" s="4"/>
      <c r="I236" s="2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4"/>
      <c r="D237" s="1"/>
      <c r="E237" s="1"/>
      <c r="F237" s="1"/>
      <c r="G237" s="1"/>
      <c r="H237" s="4"/>
      <c r="I237" s="2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4"/>
      <c r="D238" s="1"/>
      <c r="E238" s="1"/>
      <c r="F238" s="1"/>
      <c r="G238" s="1"/>
      <c r="H238" s="4"/>
      <c r="I238" s="2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4"/>
      <c r="D239" s="1"/>
      <c r="E239" s="1"/>
      <c r="F239" s="1"/>
      <c r="G239" s="1"/>
      <c r="H239" s="4"/>
      <c r="I239" s="2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4"/>
      <c r="D240" s="1"/>
      <c r="E240" s="1"/>
      <c r="F240" s="1"/>
      <c r="G240" s="1"/>
      <c r="H240" s="4"/>
      <c r="I240" s="2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4"/>
      <c r="D241" s="1"/>
      <c r="E241" s="1"/>
      <c r="F241" s="1"/>
      <c r="G241" s="1"/>
      <c r="H241" s="4"/>
      <c r="I241" s="2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4"/>
      <c r="D242" s="1"/>
      <c r="E242" s="1"/>
      <c r="F242" s="1"/>
      <c r="G242" s="1"/>
      <c r="H242" s="4"/>
      <c r="I242" s="2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4"/>
      <c r="D243" s="1"/>
      <c r="E243" s="1"/>
      <c r="F243" s="1"/>
      <c r="G243" s="1"/>
      <c r="H243" s="4"/>
      <c r="I243" s="2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4"/>
      <c r="D244" s="1"/>
      <c r="E244" s="1"/>
      <c r="F244" s="1"/>
      <c r="G244" s="1"/>
      <c r="H244" s="4"/>
      <c r="I244" s="2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4"/>
      <c r="D245" s="1"/>
      <c r="E245" s="1"/>
      <c r="F245" s="1"/>
      <c r="G245" s="1"/>
      <c r="H245" s="4"/>
      <c r="I245" s="2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4"/>
      <c r="D246" s="1"/>
      <c r="E246" s="1"/>
      <c r="F246" s="1"/>
      <c r="G246" s="1"/>
      <c r="H246" s="4"/>
      <c r="I246" s="2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4"/>
      <c r="D247" s="1"/>
      <c r="E247" s="1"/>
      <c r="F247" s="1"/>
      <c r="G247" s="1"/>
      <c r="H247" s="4"/>
      <c r="I247" s="2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4"/>
      <c r="D248" s="1"/>
      <c r="E248" s="1"/>
      <c r="F248" s="1"/>
      <c r="G248" s="1"/>
      <c r="H248" s="4"/>
      <c r="I248" s="2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4"/>
      <c r="D249" s="1"/>
      <c r="E249" s="1"/>
      <c r="F249" s="1"/>
      <c r="G249" s="1"/>
      <c r="H249" s="4"/>
      <c r="I249" s="2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4"/>
      <c r="D250" s="1"/>
      <c r="E250" s="1"/>
      <c r="F250" s="1"/>
      <c r="G250" s="1"/>
      <c r="H250" s="4"/>
      <c r="I250" s="2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4"/>
      <c r="D251" s="1"/>
      <c r="E251" s="1"/>
      <c r="F251" s="1"/>
      <c r="G251" s="1"/>
      <c r="H251" s="4"/>
      <c r="I251" s="2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4"/>
      <c r="D252" s="1"/>
      <c r="E252" s="1"/>
      <c r="F252" s="1"/>
      <c r="G252" s="1"/>
      <c r="H252" s="4"/>
      <c r="I252" s="2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4"/>
      <c r="D253" s="1"/>
      <c r="E253" s="1"/>
      <c r="F253" s="1"/>
      <c r="G253" s="1"/>
      <c r="H253" s="4"/>
      <c r="I253" s="2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4"/>
      <c r="D254" s="1"/>
      <c r="E254" s="1"/>
      <c r="F254" s="1"/>
      <c r="G254" s="1"/>
      <c r="H254" s="4"/>
      <c r="I254" s="2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4"/>
      <c r="D255" s="1"/>
      <c r="E255" s="1"/>
      <c r="F255" s="1"/>
      <c r="G255" s="1"/>
      <c r="H255" s="4"/>
      <c r="I255" s="2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4"/>
      <c r="D256" s="1"/>
      <c r="E256" s="1"/>
      <c r="F256" s="1"/>
      <c r="G256" s="1"/>
      <c r="H256" s="4"/>
      <c r="I256" s="2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4"/>
      <c r="D257" s="1"/>
      <c r="E257" s="1"/>
      <c r="F257" s="1"/>
      <c r="G257" s="1"/>
      <c r="H257" s="4"/>
      <c r="I257" s="2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4"/>
      <c r="D258" s="1"/>
      <c r="E258" s="1"/>
      <c r="F258" s="1"/>
      <c r="G258" s="1"/>
      <c r="H258" s="4"/>
      <c r="I258" s="2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4"/>
      <c r="D259" s="1"/>
      <c r="E259" s="1"/>
      <c r="F259" s="1"/>
      <c r="G259" s="1"/>
      <c r="H259" s="4"/>
      <c r="I259" s="2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4"/>
      <c r="D260" s="1"/>
      <c r="E260" s="1"/>
      <c r="F260" s="1"/>
      <c r="G260" s="1"/>
      <c r="H260" s="4"/>
      <c r="I260" s="2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4"/>
      <c r="D261" s="1"/>
      <c r="E261" s="1"/>
      <c r="F261" s="1"/>
      <c r="G261" s="1"/>
      <c r="H261" s="4"/>
      <c r="I261" s="2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4"/>
      <c r="D262" s="1"/>
      <c r="E262" s="1"/>
      <c r="F262" s="1"/>
      <c r="G262" s="1"/>
      <c r="H262" s="4"/>
      <c r="I262" s="2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4"/>
      <c r="D263" s="1"/>
      <c r="E263" s="1"/>
      <c r="F263" s="1"/>
      <c r="G263" s="1"/>
      <c r="H263" s="4"/>
      <c r="I263" s="2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4"/>
      <c r="D264" s="1"/>
      <c r="E264" s="1"/>
      <c r="F264" s="1"/>
      <c r="G264" s="1"/>
      <c r="H264" s="4"/>
      <c r="I264" s="2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4"/>
      <c r="D265" s="1"/>
      <c r="E265" s="1"/>
      <c r="F265" s="1"/>
      <c r="G265" s="1"/>
      <c r="H265" s="4"/>
      <c r="I265" s="2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4"/>
      <c r="D266" s="1"/>
      <c r="E266" s="1"/>
      <c r="F266" s="1"/>
      <c r="G266" s="1"/>
      <c r="H266" s="4"/>
      <c r="I266" s="2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4"/>
      <c r="D267" s="1"/>
      <c r="E267" s="1"/>
      <c r="F267" s="1"/>
      <c r="G267" s="1"/>
      <c r="H267" s="4"/>
      <c r="I267" s="2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4"/>
      <c r="D268" s="1"/>
      <c r="E268" s="1"/>
      <c r="F268" s="1"/>
      <c r="G268" s="1"/>
      <c r="H268" s="4"/>
      <c r="I268" s="2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4"/>
      <c r="D269" s="1"/>
      <c r="E269" s="1"/>
      <c r="F269" s="1"/>
      <c r="G269" s="1"/>
      <c r="H269" s="4"/>
      <c r="I269" s="2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4"/>
      <c r="D270" s="1"/>
      <c r="E270" s="1"/>
      <c r="F270" s="1"/>
      <c r="G270" s="1"/>
      <c r="H270" s="4"/>
      <c r="I270" s="2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4"/>
      <c r="D271" s="1"/>
      <c r="E271" s="1"/>
      <c r="F271" s="1"/>
      <c r="G271" s="1"/>
      <c r="H271" s="4"/>
      <c r="I271" s="2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4"/>
      <c r="D272" s="1"/>
      <c r="E272" s="1"/>
      <c r="F272" s="1"/>
      <c r="G272" s="1"/>
      <c r="H272" s="4"/>
      <c r="I272" s="2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4"/>
      <c r="D273" s="1"/>
      <c r="E273" s="1"/>
      <c r="F273" s="1"/>
      <c r="G273" s="1"/>
      <c r="H273" s="4"/>
      <c r="I273" s="2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4"/>
      <c r="D274" s="1"/>
      <c r="E274" s="1"/>
      <c r="F274" s="1"/>
      <c r="G274" s="1"/>
      <c r="H274" s="4"/>
      <c r="I274" s="2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4"/>
      <c r="D275" s="1"/>
      <c r="E275" s="1"/>
      <c r="F275" s="1"/>
      <c r="G275" s="1"/>
      <c r="H275" s="4"/>
      <c r="I275" s="2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4"/>
      <c r="D276" s="1"/>
      <c r="E276" s="1"/>
      <c r="F276" s="1"/>
      <c r="G276" s="1"/>
      <c r="H276" s="4"/>
      <c r="I276" s="2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4"/>
      <c r="D277" s="1"/>
      <c r="E277" s="1"/>
      <c r="F277" s="1"/>
      <c r="G277" s="1"/>
      <c r="H277" s="4"/>
      <c r="I277" s="2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4"/>
      <c r="D278" s="1"/>
      <c r="E278" s="1"/>
      <c r="F278" s="1"/>
      <c r="G278" s="1"/>
      <c r="H278" s="4"/>
      <c r="I278" s="2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4"/>
      <c r="D279" s="1"/>
      <c r="E279" s="1"/>
      <c r="F279" s="1"/>
      <c r="G279" s="1"/>
      <c r="H279" s="4"/>
      <c r="I279" s="2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4"/>
      <c r="D280" s="1"/>
      <c r="E280" s="1"/>
      <c r="F280" s="1"/>
      <c r="G280" s="1"/>
      <c r="H280" s="4"/>
      <c r="I280" s="2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4"/>
      <c r="D281" s="1"/>
      <c r="E281" s="1"/>
      <c r="F281" s="1"/>
      <c r="G281" s="1"/>
      <c r="H281" s="4"/>
      <c r="I281" s="2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4"/>
      <c r="D282" s="1"/>
      <c r="E282" s="1"/>
      <c r="F282" s="1"/>
      <c r="G282" s="1"/>
      <c r="H282" s="4"/>
      <c r="I282" s="2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4"/>
      <c r="D283" s="1"/>
      <c r="E283" s="1"/>
      <c r="F283" s="1"/>
      <c r="G283" s="1"/>
      <c r="H283" s="4"/>
      <c r="I283" s="2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4"/>
      <c r="D284" s="1"/>
      <c r="E284" s="1"/>
      <c r="F284" s="1"/>
      <c r="G284" s="1"/>
      <c r="H284" s="4"/>
      <c r="I284" s="2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4"/>
      <c r="D285" s="1"/>
      <c r="E285" s="1"/>
      <c r="F285" s="1"/>
      <c r="G285" s="1"/>
      <c r="H285" s="4"/>
      <c r="I285" s="2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4"/>
      <c r="D286" s="1"/>
      <c r="E286" s="1"/>
      <c r="F286" s="1"/>
      <c r="G286" s="1"/>
      <c r="H286" s="4"/>
      <c r="I286" s="2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4"/>
      <c r="D287" s="1"/>
      <c r="E287" s="1"/>
      <c r="F287" s="1"/>
      <c r="G287" s="1"/>
      <c r="H287" s="4"/>
      <c r="I287" s="2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4"/>
      <c r="D288" s="1"/>
      <c r="E288" s="1"/>
      <c r="F288" s="1"/>
      <c r="G288" s="1"/>
      <c r="H288" s="4"/>
      <c r="I288" s="2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4"/>
      <c r="D289" s="1"/>
      <c r="E289" s="1"/>
      <c r="F289" s="1"/>
      <c r="G289" s="1"/>
      <c r="H289" s="4"/>
      <c r="I289" s="2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4"/>
      <c r="D290" s="1"/>
      <c r="E290" s="1"/>
      <c r="F290" s="1"/>
      <c r="G290" s="1"/>
      <c r="H290" s="4"/>
      <c r="I290" s="2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4"/>
      <c r="D291" s="1"/>
      <c r="E291" s="1"/>
      <c r="F291" s="1"/>
      <c r="G291" s="1"/>
      <c r="H291" s="4"/>
      <c r="I291" s="2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4"/>
      <c r="D292" s="1"/>
      <c r="E292" s="1"/>
      <c r="F292" s="1"/>
      <c r="G292" s="1"/>
      <c r="H292" s="4"/>
      <c r="I292" s="2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4"/>
      <c r="D293" s="1"/>
      <c r="E293" s="1"/>
      <c r="F293" s="1"/>
      <c r="G293" s="1"/>
      <c r="H293" s="4"/>
      <c r="I293" s="2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4"/>
      <c r="D294" s="1"/>
      <c r="E294" s="1"/>
      <c r="F294" s="1"/>
      <c r="G294" s="1"/>
      <c r="H294" s="4"/>
      <c r="I294" s="2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4"/>
      <c r="D295" s="1"/>
      <c r="E295" s="1"/>
      <c r="F295" s="1"/>
      <c r="G295" s="1"/>
      <c r="H295" s="4"/>
      <c r="I295" s="2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4"/>
      <c r="D296" s="1"/>
      <c r="E296" s="1"/>
      <c r="F296" s="1"/>
      <c r="G296" s="1"/>
      <c r="H296" s="4"/>
      <c r="I296" s="2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4"/>
      <c r="D297" s="1"/>
      <c r="E297" s="1"/>
      <c r="F297" s="1"/>
      <c r="G297" s="1"/>
      <c r="H297" s="4"/>
      <c r="I297" s="2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4"/>
      <c r="D298" s="1"/>
      <c r="E298" s="1"/>
      <c r="F298" s="1"/>
      <c r="G298" s="1"/>
      <c r="H298" s="4"/>
      <c r="I298" s="2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4"/>
      <c r="D299" s="1"/>
      <c r="E299" s="1"/>
      <c r="F299" s="1"/>
      <c r="G299" s="1"/>
      <c r="H299" s="4"/>
      <c r="I299" s="2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4"/>
      <c r="D300" s="1"/>
      <c r="E300" s="1"/>
      <c r="F300" s="1"/>
      <c r="G300" s="1"/>
      <c r="H300" s="4"/>
      <c r="I300" s="2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4"/>
      <c r="D301" s="1"/>
      <c r="E301" s="1"/>
      <c r="F301" s="1"/>
      <c r="G301" s="1"/>
      <c r="H301" s="4"/>
      <c r="I301" s="2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4"/>
      <c r="D302" s="1"/>
      <c r="E302" s="1"/>
      <c r="F302" s="1"/>
      <c r="G302" s="1"/>
      <c r="H302" s="4"/>
      <c r="I302" s="2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4"/>
      <c r="D303" s="1"/>
      <c r="E303" s="1"/>
      <c r="F303" s="1"/>
      <c r="G303" s="1"/>
      <c r="H303" s="4"/>
      <c r="I303" s="2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4"/>
      <c r="D304" s="1"/>
      <c r="E304" s="1"/>
      <c r="F304" s="1"/>
      <c r="G304" s="1"/>
      <c r="H304" s="4"/>
      <c r="I304" s="2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4"/>
      <c r="D305" s="1"/>
      <c r="E305" s="1"/>
      <c r="F305" s="1"/>
      <c r="G305" s="1"/>
      <c r="H305" s="4"/>
      <c r="I305" s="2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4"/>
      <c r="D306" s="1"/>
      <c r="E306" s="1"/>
      <c r="F306" s="1"/>
      <c r="G306" s="1"/>
      <c r="H306" s="4"/>
      <c r="I306" s="2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4"/>
      <c r="D307" s="1"/>
      <c r="E307" s="1"/>
      <c r="F307" s="1"/>
      <c r="G307" s="1"/>
      <c r="H307" s="4"/>
      <c r="I307" s="2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4"/>
      <c r="D308" s="1"/>
      <c r="E308" s="1"/>
      <c r="F308" s="1"/>
      <c r="G308" s="1"/>
      <c r="H308" s="4"/>
      <c r="I308" s="2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4"/>
      <c r="D309" s="1"/>
      <c r="E309" s="1"/>
      <c r="F309" s="1"/>
      <c r="G309" s="1"/>
      <c r="H309" s="4"/>
      <c r="I309" s="2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4"/>
      <c r="D310" s="1"/>
      <c r="E310" s="1"/>
      <c r="F310" s="1"/>
      <c r="G310" s="1"/>
      <c r="H310" s="4"/>
      <c r="I310" s="2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4"/>
      <c r="D311" s="1"/>
      <c r="E311" s="1"/>
      <c r="F311" s="1"/>
      <c r="G311" s="1"/>
      <c r="H311" s="4"/>
      <c r="I311" s="2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4"/>
      <c r="D312" s="1"/>
      <c r="E312" s="1"/>
      <c r="F312" s="1"/>
      <c r="G312" s="1"/>
      <c r="H312" s="4"/>
      <c r="I312" s="2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4"/>
      <c r="D313" s="1"/>
      <c r="E313" s="1"/>
      <c r="F313" s="1"/>
      <c r="G313" s="1"/>
      <c r="H313" s="4"/>
      <c r="I313" s="2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4"/>
      <c r="D314" s="1"/>
      <c r="E314" s="1"/>
      <c r="F314" s="1"/>
      <c r="G314" s="1"/>
      <c r="H314" s="4"/>
      <c r="I314" s="2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4"/>
      <c r="D315" s="1"/>
      <c r="E315" s="1"/>
      <c r="F315" s="1"/>
      <c r="G315" s="1"/>
      <c r="H315" s="4"/>
      <c r="I315" s="2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4"/>
      <c r="D316" s="1"/>
      <c r="E316" s="1"/>
      <c r="F316" s="1"/>
      <c r="G316" s="1"/>
      <c r="H316" s="4"/>
      <c r="I316" s="2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4"/>
      <c r="D317" s="1"/>
      <c r="E317" s="1"/>
      <c r="F317" s="1"/>
      <c r="G317" s="1"/>
      <c r="H317" s="4"/>
      <c r="I317" s="2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4"/>
      <c r="D318" s="1"/>
      <c r="E318" s="1"/>
      <c r="F318" s="1"/>
      <c r="G318" s="1"/>
      <c r="H318" s="4"/>
      <c r="I318" s="2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4"/>
      <c r="D319" s="1"/>
      <c r="E319" s="1"/>
      <c r="F319" s="1"/>
      <c r="G319" s="1"/>
      <c r="H319" s="4"/>
      <c r="I319" s="2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4"/>
      <c r="D320" s="1"/>
      <c r="E320" s="1"/>
      <c r="F320" s="1"/>
      <c r="G320" s="1"/>
      <c r="H320" s="4"/>
      <c r="I320" s="2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4"/>
      <c r="D321" s="1"/>
      <c r="E321" s="1"/>
      <c r="F321" s="1"/>
      <c r="G321" s="1"/>
      <c r="H321" s="4"/>
      <c r="I321" s="2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4"/>
      <c r="D322" s="1"/>
      <c r="E322" s="1"/>
      <c r="F322" s="1"/>
      <c r="G322" s="1"/>
      <c r="H322" s="4"/>
      <c r="I322" s="2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4"/>
      <c r="D323" s="1"/>
      <c r="E323" s="1"/>
      <c r="F323" s="1"/>
      <c r="G323" s="1"/>
      <c r="H323" s="4"/>
      <c r="I323" s="2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4"/>
      <c r="D324" s="1"/>
      <c r="E324" s="1"/>
      <c r="F324" s="1"/>
      <c r="G324" s="1"/>
      <c r="H324" s="4"/>
      <c r="I324" s="2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4"/>
      <c r="D325" s="1"/>
      <c r="E325" s="1"/>
      <c r="F325" s="1"/>
      <c r="G325" s="1"/>
      <c r="H325" s="4"/>
      <c r="I325" s="2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4"/>
      <c r="D326" s="1"/>
      <c r="E326" s="1"/>
      <c r="F326" s="1"/>
      <c r="G326" s="1"/>
      <c r="H326" s="4"/>
      <c r="I326" s="2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4"/>
      <c r="D327" s="1"/>
      <c r="E327" s="1"/>
      <c r="F327" s="1"/>
      <c r="G327" s="1"/>
      <c r="H327" s="4"/>
      <c r="I327" s="2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4"/>
      <c r="D328" s="1"/>
      <c r="E328" s="1"/>
      <c r="F328" s="1"/>
      <c r="G328" s="1"/>
      <c r="H328" s="4"/>
      <c r="I328" s="2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4"/>
      <c r="D329" s="1"/>
      <c r="E329" s="1"/>
      <c r="F329" s="1"/>
      <c r="G329" s="1"/>
      <c r="H329" s="4"/>
      <c r="I329" s="2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4"/>
      <c r="D330" s="1"/>
      <c r="E330" s="1"/>
      <c r="F330" s="1"/>
      <c r="G330" s="1"/>
      <c r="H330" s="4"/>
      <c r="I330" s="2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4"/>
      <c r="D331" s="1"/>
      <c r="E331" s="1"/>
      <c r="F331" s="1"/>
      <c r="G331" s="1"/>
      <c r="H331" s="4"/>
      <c r="I331" s="2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4"/>
      <c r="D332" s="1"/>
      <c r="E332" s="1"/>
      <c r="F332" s="1"/>
      <c r="G332" s="1"/>
      <c r="H332" s="4"/>
      <c r="I332" s="2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4"/>
      <c r="D333" s="1"/>
      <c r="E333" s="1"/>
      <c r="F333" s="1"/>
      <c r="G333" s="1"/>
      <c r="H333" s="4"/>
      <c r="I333" s="2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4"/>
      <c r="D334" s="1"/>
      <c r="E334" s="1"/>
      <c r="F334" s="1"/>
      <c r="G334" s="1"/>
      <c r="H334" s="4"/>
      <c r="I334" s="2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4"/>
      <c r="D335" s="1"/>
      <c r="E335" s="1"/>
      <c r="F335" s="1"/>
      <c r="G335" s="1"/>
      <c r="H335" s="4"/>
      <c r="I335" s="2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4"/>
      <c r="D336" s="1"/>
      <c r="E336" s="1"/>
      <c r="F336" s="1"/>
      <c r="G336" s="1"/>
      <c r="H336" s="4"/>
      <c r="I336" s="2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4"/>
      <c r="D337" s="1"/>
      <c r="E337" s="1"/>
      <c r="F337" s="1"/>
      <c r="G337" s="1"/>
      <c r="H337" s="4"/>
      <c r="I337" s="2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4"/>
      <c r="D338" s="1"/>
      <c r="E338" s="1"/>
      <c r="F338" s="1"/>
      <c r="G338" s="1"/>
      <c r="H338" s="4"/>
      <c r="I338" s="2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4"/>
      <c r="D339" s="1"/>
      <c r="E339" s="1"/>
      <c r="F339" s="1"/>
      <c r="G339" s="1"/>
      <c r="H339" s="4"/>
      <c r="I339" s="2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4"/>
      <c r="D340" s="1"/>
      <c r="E340" s="1"/>
      <c r="F340" s="1"/>
      <c r="G340" s="1"/>
      <c r="H340" s="4"/>
      <c r="I340" s="2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4"/>
      <c r="D341" s="1"/>
      <c r="E341" s="1"/>
      <c r="F341" s="1"/>
      <c r="G341" s="1"/>
      <c r="H341" s="4"/>
      <c r="I341" s="2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4"/>
      <c r="D342" s="1"/>
      <c r="E342" s="1"/>
      <c r="F342" s="1"/>
      <c r="G342" s="1"/>
      <c r="H342" s="4"/>
      <c r="I342" s="2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4"/>
      <c r="D343" s="1"/>
      <c r="E343" s="1"/>
      <c r="F343" s="1"/>
      <c r="G343" s="1"/>
      <c r="H343" s="4"/>
      <c r="I343" s="2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4"/>
      <c r="D344" s="1"/>
      <c r="E344" s="1"/>
      <c r="F344" s="1"/>
      <c r="G344" s="1"/>
      <c r="H344" s="4"/>
      <c r="I344" s="2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4"/>
      <c r="D345" s="1"/>
      <c r="E345" s="1"/>
      <c r="F345" s="1"/>
      <c r="G345" s="1"/>
      <c r="H345" s="4"/>
      <c r="I345" s="2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4"/>
      <c r="D346" s="1"/>
      <c r="E346" s="1"/>
      <c r="F346" s="1"/>
      <c r="G346" s="1"/>
      <c r="H346" s="4"/>
      <c r="I346" s="2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4"/>
      <c r="D347" s="1"/>
      <c r="E347" s="1"/>
      <c r="F347" s="1"/>
      <c r="G347" s="1"/>
      <c r="H347" s="4"/>
      <c r="I347" s="2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4"/>
      <c r="D348" s="1"/>
      <c r="E348" s="1"/>
      <c r="F348" s="1"/>
      <c r="G348" s="1"/>
      <c r="H348" s="4"/>
      <c r="I348" s="2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4"/>
      <c r="D349" s="1"/>
      <c r="E349" s="1"/>
      <c r="F349" s="1"/>
      <c r="G349" s="1"/>
      <c r="H349" s="4"/>
      <c r="I349" s="2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4"/>
      <c r="D350" s="1"/>
      <c r="E350" s="1"/>
      <c r="F350" s="1"/>
      <c r="G350" s="1"/>
      <c r="H350" s="4"/>
      <c r="I350" s="2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4"/>
      <c r="D351" s="1"/>
      <c r="E351" s="1"/>
      <c r="F351" s="1"/>
      <c r="G351" s="1"/>
      <c r="H351" s="4"/>
      <c r="I351" s="2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4"/>
      <c r="D352" s="1"/>
      <c r="E352" s="1"/>
      <c r="F352" s="1"/>
      <c r="G352" s="1"/>
      <c r="H352" s="4"/>
      <c r="I352" s="2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4"/>
      <c r="D353" s="1"/>
      <c r="E353" s="1"/>
      <c r="F353" s="1"/>
      <c r="G353" s="1"/>
      <c r="H353" s="4"/>
      <c r="I353" s="2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4"/>
      <c r="D354" s="1"/>
      <c r="E354" s="1"/>
      <c r="F354" s="1"/>
      <c r="G354" s="1"/>
      <c r="H354" s="4"/>
      <c r="I354" s="2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4"/>
      <c r="D355" s="1"/>
      <c r="E355" s="1"/>
      <c r="F355" s="1"/>
      <c r="G355" s="1"/>
      <c r="H355" s="4"/>
      <c r="I355" s="2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4"/>
      <c r="D356" s="1"/>
      <c r="E356" s="1"/>
      <c r="F356" s="1"/>
      <c r="G356" s="1"/>
      <c r="H356" s="4"/>
      <c r="I356" s="2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4"/>
      <c r="D357" s="1"/>
      <c r="E357" s="1"/>
      <c r="F357" s="1"/>
      <c r="G357" s="1"/>
      <c r="H357" s="4"/>
      <c r="I357" s="2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4"/>
      <c r="D358" s="1"/>
      <c r="E358" s="1"/>
      <c r="F358" s="1"/>
      <c r="G358" s="1"/>
      <c r="H358" s="4"/>
      <c r="I358" s="2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4"/>
      <c r="D359" s="1"/>
      <c r="E359" s="1"/>
      <c r="F359" s="1"/>
      <c r="G359" s="1"/>
      <c r="H359" s="4"/>
      <c r="I359" s="2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4"/>
      <c r="D360" s="1"/>
      <c r="E360" s="1"/>
      <c r="F360" s="1"/>
      <c r="G360" s="1"/>
      <c r="H360" s="4"/>
      <c r="I360" s="2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4"/>
      <c r="D361" s="1"/>
      <c r="E361" s="1"/>
      <c r="F361" s="1"/>
      <c r="G361" s="1"/>
      <c r="H361" s="4"/>
      <c r="I361" s="2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4"/>
      <c r="D362" s="1"/>
      <c r="E362" s="1"/>
      <c r="F362" s="1"/>
      <c r="G362" s="1"/>
      <c r="H362" s="4"/>
      <c r="I362" s="2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4"/>
      <c r="D363" s="1"/>
      <c r="E363" s="1"/>
      <c r="F363" s="1"/>
      <c r="G363" s="1"/>
      <c r="H363" s="4"/>
      <c r="I363" s="2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4"/>
      <c r="D364" s="1"/>
      <c r="E364" s="1"/>
      <c r="F364" s="1"/>
      <c r="G364" s="1"/>
      <c r="H364" s="4"/>
      <c r="I364" s="2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4"/>
      <c r="D365" s="1"/>
      <c r="E365" s="1"/>
      <c r="F365" s="1"/>
      <c r="G365" s="1"/>
      <c r="H365" s="4"/>
      <c r="I365" s="2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4"/>
      <c r="D366" s="1"/>
      <c r="E366" s="1"/>
      <c r="F366" s="1"/>
      <c r="G366" s="1"/>
      <c r="H366" s="4"/>
      <c r="I366" s="2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4"/>
      <c r="D367" s="1"/>
      <c r="E367" s="1"/>
      <c r="F367" s="1"/>
      <c r="G367" s="1"/>
      <c r="H367" s="4"/>
      <c r="I367" s="2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4"/>
      <c r="D368" s="1"/>
      <c r="E368" s="1"/>
      <c r="F368" s="1"/>
      <c r="G368" s="1"/>
      <c r="H368" s="4"/>
      <c r="I368" s="2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4"/>
      <c r="D369" s="1"/>
      <c r="E369" s="1"/>
      <c r="F369" s="1"/>
      <c r="G369" s="1"/>
      <c r="H369" s="4"/>
      <c r="I369" s="2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4"/>
      <c r="D370" s="1"/>
      <c r="E370" s="1"/>
      <c r="F370" s="1"/>
      <c r="G370" s="1"/>
      <c r="H370" s="4"/>
      <c r="I370" s="2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4"/>
      <c r="D371" s="1"/>
      <c r="E371" s="1"/>
      <c r="F371" s="1"/>
      <c r="G371" s="1"/>
      <c r="H371" s="4"/>
      <c r="I371" s="2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4"/>
      <c r="D372" s="1"/>
      <c r="E372" s="1"/>
      <c r="F372" s="1"/>
      <c r="G372" s="1"/>
      <c r="H372" s="4"/>
      <c r="I372" s="2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4"/>
      <c r="D373" s="1"/>
      <c r="E373" s="1"/>
      <c r="F373" s="1"/>
      <c r="G373" s="1"/>
      <c r="H373" s="4"/>
      <c r="I373" s="2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4"/>
      <c r="D374" s="1"/>
      <c r="E374" s="1"/>
      <c r="F374" s="1"/>
      <c r="G374" s="1"/>
      <c r="H374" s="4"/>
      <c r="I374" s="2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4"/>
      <c r="D375" s="1"/>
      <c r="E375" s="1"/>
      <c r="F375" s="1"/>
      <c r="G375" s="1"/>
      <c r="H375" s="4"/>
      <c r="I375" s="2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4"/>
      <c r="D376" s="1"/>
      <c r="E376" s="1"/>
      <c r="F376" s="1"/>
      <c r="G376" s="1"/>
      <c r="H376" s="4"/>
      <c r="I376" s="2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4"/>
      <c r="D377" s="1"/>
      <c r="E377" s="1"/>
      <c r="F377" s="1"/>
      <c r="G377" s="1"/>
      <c r="H377" s="4"/>
      <c r="I377" s="2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4"/>
      <c r="D378" s="1"/>
      <c r="E378" s="1"/>
      <c r="F378" s="1"/>
      <c r="G378" s="1"/>
      <c r="H378" s="4"/>
      <c r="I378" s="2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4"/>
      <c r="D379" s="1"/>
      <c r="E379" s="1"/>
      <c r="F379" s="1"/>
      <c r="G379" s="1"/>
      <c r="H379" s="4"/>
      <c r="I379" s="2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4"/>
      <c r="D380" s="1"/>
      <c r="E380" s="1"/>
      <c r="F380" s="1"/>
      <c r="G380" s="1"/>
      <c r="H380" s="4"/>
      <c r="I380" s="2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L5:L178">
      <formula1>"C,T,O"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38"/>
    <col customWidth="1" min="2" max="2" width="7.5"/>
    <col customWidth="1" min="3" max="3" width="18.13"/>
    <col customWidth="1" min="4" max="4" width="16.13"/>
    <col customWidth="1" hidden="1" min="5" max="5" width="7.13"/>
    <col customWidth="1" hidden="1" min="6" max="6" width="5.25"/>
    <col customWidth="1" hidden="1" min="7" max="7" width="25.75"/>
    <col customWidth="1" hidden="1" min="8" max="8" width="3.63"/>
    <col customWidth="1" hidden="1" min="9" max="10" width="11.25"/>
    <col customWidth="1" min="11" max="11" width="11.25"/>
    <col customWidth="1" min="12" max="12" width="11.75"/>
    <col customWidth="1" min="13" max="13" width="41.5"/>
  </cols>
  <sheetData>
    <row r="1" ht="15.75" customHeight="1">
      <c r="A1" s="1"/>
      <c r="B1" s="2"/>
      <c r="C1" s="4"/>
      <c r="D1" s="1"/>
      <c r="E1" s="1"/>
      <c r="F1" s="1"/>
      <c r="G1" s="1"/>
      <c r="H1" s="4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8" t="s">
        <v>1252</v>
      </c>
      <c r="B2" s="59"/>
      <c r="C2" s="60"/>
      <c r="D2" s="1"/>
      <c r="E2" s="1"/>
      <c r="F2" s="1"/>
      <c r="G2" s="1"/>
      <c r="H2" s="4"/>
      <c r="I2" s="2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4"/>
      <c r="D3" s="1"/>
      <c r="E3" s="1"/>
      <c r="F3" s="1"/>
      <c r="G3" s="1"/>
      <c r="H3" s="4"/>
      <c r="I3" s="2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1" t="s">
        <v>1</v>
      </c>
      <c r="B4" s="62" t="s">
        <v>2</v>
      </c>
      <c r="C4" s="61" t="s">
        <v>1223</v>
      </c>
      <c r="D4" s="61" t="s">
        <v>1224</v>
      </c>
      <c r="E4" s="61" t="s">
        <v>4</v>
      </c>
      <c r="F4" s="63" t="s">
        <v>1225</v>
      </c>
      <c r="G4" s="63" t="s">
        <v>7</v>
      </c>
      <c r="H4" s="61" t="s">
        <v>8</v>
      </c>
      <c r="I4" s="64" t="s">
        <v>9</v>
      </c>
      <c r="J4" s="65" t="s">
        <v>10</v>
      </c>
      <c r="K4" s="65" t="s">
        <v>11</v>
      </c>
      <c r="L4" s="61" t="s">
        <v>14</v>
      </c>
      <c r="M4" s="61" t="s">
        <v>1253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/>
      <c r="B5" s="66"/>
      <c r="C5" s="4"/>
      <c r="D5" s="4"/>
      <c r="E5" s="1"/>
      <c r="F5" s="1" t="str">
        <f>A5&amp;E5</f>
        <v/>
      </c>
      <c r="G5" s="1" t="str">
        <f>_xludf.IFNA(VLOOKUP(E5,Master!D:J,4,0),"")</f>
        <v>#NAME?</v>
      </c>
      <c r="H5" s="4"/>
      <c r="I5" s="25">
        <v>0.0</v>
      </c>
      <c r="J5" s="5">
        <v>0.0</v>
      </c>
      <c r="K5" s="5">
        <f>I5*H5-J5</f>
        <v>0</v>
      </c>
      <c r="L5" s="4" t="s">
        <v>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1254</v>
      </c>
      <c r="B6" s="66" t="s">
        <v>1255</v>
      </c>
      <c r="C6" s="67" t="s">
        <v>1256</v>
      </c>
      <c r="D6" s="4" t="s">
        <v>451</v>
      </c>
      <c r="E6" s="1"/>
      <c r="F6" s="1"/>
      <c r="G6" s="1"/>
      <c r="H6" s="4">
        <v>1.0</v>
      </c>
      <c r="I6" s="25">
        <v>30000.0</v>
      </c>
      <c r="J6" s="5">
        <v>0.0</v>
      </c>
      <c r="K6" s="5">
        <v>340000.0</v>
      </c>
      <c r="L6" s="4" t="s">
        <v>77</v>
      </c>
      <c r="M6" s="1" t="s">
        <v>1257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1258</v>
      </c>
      <c r="B7" s="66" t="s">
        <v>1259</v>
      </c>
      <c r="C7" s="67" t="s">
        <v>1260</v>
      </c>
      <c r="D7" s="4" t="s">
        <v>1261</v>
      </c>
      <c r="E7" s="1"/>
      <c r="F7" s="1"/>
      <c r="G7" s="1"/>
      <c r="H7" s="4">
        <v>3.0</v>
      </c>
      <c r="I7" s="25">
        <v>74000.0</v>
      </c>
      <c r="J7" s="5">
        <v>0.0</v>
      </c>
      <c r="K7" s="5">
        <v>443000.0</v>
      </c>
      <c r="L7" s="4" t="s">
        <v>77</v>
      </c>
      <c r="M7" s="1" t="s">
        <v>1257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1262</v>
      </c>
      <c r="B8" s="66" t="s">
        <v>1263</v>
      </c>
      <c r="C8" s="67" t="s">
        <v>1264</v>
      </c>
      <c r="D8" s="4" t="s">
        <v>451</v>
      </c>
      <c r="E8" s="1"/>
      <c r="F8" s="1"/>
      <c r="G8" s="1"/>
      <c r="H8" s="4">
        <v>1.0</v>
      </c>
      <c r="I8" s="25">
        <v>68000.0</v>
      </c>
      <c r="J8" s="5">
        <v>0.0</v>
      </c>
      <c r="K8" s="5">
        <v>425000.0</v>
      </c>
      <c r="L8" s="4" t="s">
        <v>77</v>
      </c>
      <c r="M8" s="1" t="s">
        <v>1257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/>
      <c r="B9" s="66"/>
      <c r="C9" s="4"/>
      <c r="D9" s="4"/>
      <c r="E9" s="1"/>
      <c r="F9" s="1"/>
      <c r="G9" s="1"/>
      <c r="H9" s="4"/>
      <c r="I9" s="25"/>
      <c r="J9" s="5"/>
      <c r="K9" s="5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/>
      <c r="B10" s="66"/>
      <c r="C10" s="4"/>
      <c r="D10" s="4"/>
      <c r="E10" s="1"/>
      <c r="F10" s="1"/>
      <c r="G10" s="1"/>
      <c r="H10" s="4"/>
      <c r="I10" s="25"/>
      <c r="J10" s="5"/>
      <c r="K10" s="5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/>
      <c r="B11" s="66"/>
      <c r="C11" s="4"/>
      <c r="D11" s="4"/>
      <c r="E11" s="1"/>
      <c r="F11" s="1"/>
      <c r="G11" s="1"/>
      <c r="H11" s="4"/>
      <c r="I11" s="25"/>
      <c r="J11" s="5"/>
      <c r="K11" s="5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/>
      <c r="B12" s="66"/>
      <c r="C12" s="4"/>
      <c r="D12" s="4"/>
      <c r="E12" s="1"/>
      <c r="F12" s="1"/>
      <c r="G12" s="1"/>
      <c r="H12" s="4"/>
      <c r="I12" s="25"/>
      <c r="J12" s="5"/>
      <c r="K12" s="5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/>
      <c r="B13" s="66"/>
      <c r="C13" s="4"/>
      <c r="D13" s="4"/>
      <c r="E13" s="1"/>
      <c r="F13" s="1"/>
      <c r="G13" s="1"/>
      <c r="H13" s="4"/>
      <c r="I13" s="25"/>
      <c r="J13" s="5"/>
      <c r="K13" s="5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/>
      <c r="B14" s="66"/>
      <c r="C14" s="4"/>
      <c r="D14" s="4"/>
      <c r="E14" s="1"/>
      <c r="F14" s="1"/>
      <c r="G14" s="1"/>
      <c r="H14" s="4"/>
      <c r="I14" s="25"/>
      <c r="J14" s="5"/>
      <c r="K14" s="5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/>
      <c r="B15" s="66"/>
      <c r="C15" s="4"/>
      <c r="D15" s="4"/>
      <c r="E15" s="1"/>
      <c r="F15" s="1"/>
      <c r="G15" s="1"/>
      <c r="H15" s="4"/>
      <c r="I15" s="25"/>
      <c r="J15" s="5"/>
      <c r="K15" s="5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/>
      <c r="B16" s="66"/>
      <c r="C16" s="4"/>
      <c r="D16" s="4"/>
      <c r="E16" s="1"/>
      <c r="F16" s="1"/>
      <c r="G16" s="1"/>
      <c r="H16" s="4"/>
      <c r="I16" s="25"/>
      <c r="J16" s="5"/>
      <c r="K16" s="5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/>
      <c r="B17" s="66"/>
      <c r="C17" s="4"/>
      <c r="D17" s="4"/>
      <c r="E17" s="1"/>
      <c r="F17" s="1"/>
      <c r="G17" s="1"/>
      <c r="H17" s="4"/>
      <c r="I17" s="25"/>
      <c r="J17" s="5"/>
      <c r="K17" s="5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/>
      <c r="B18" s="66"/>
      <c r="C18" s="4"/>
      <c r="D18" s="4"/>
      <c r="E18" s="1"/>
      <c r="F18" s="1"/>
      <c r="G18" s="1"/>
      <c r="H18" s="4"/>
      <c r="I18" s="25"/>
      <c r="J18" s="5"/>
      <c r="K18" s="5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/>
      <c r="B19" s="66"/>
      <c r="C19" s="4"/>
      <c r="D19" s="4"/>
      <c r="E19" s="1"/>
      <c r="F19" s="1"/>
      <c r="G19" s="1"/>
      <c r="H19" s="4"/>
      <c r="I19" s="25"/>
      <c r="J19" s="5"/>
      <c r="K19" s="5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/>
      <c r="B20" s="66"/>
      <c r="C20" s="4"/>
      <c r="D20" s="4"/>
      <c r="E20" s="1"/>
      <c r="F20" s="1"/>
      <c r="G20" s="1"/>
      <c r="H20" s="4"/>
      <c r="I20" s="25"/>
      <c r="J20" s="5"/>
      <c r="K20" s="5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/>
      <c r="B21" s="66"/>
      <c r="C21" s="4"/>
      <c r="D21" s="4"/>
      <c r="E21" s="1"/>
      <c r="F21" s="1"/>
      <c r="G21" s="1"/>
      <c r="H21" s="4"/>
      <c r="I21" s="25"/>
      <c r="J21" s="5"/>
      <c r="K21" s="5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/>
      <c r="B22" s="66"/>
      <c r="C22" s="4"/>
      <c r="D22" s="4"/>
      <c r="E22" s="1"/>
      <c r="F22" s="1"/>
      <c r="G22" s="1"/>
      <c r="H22" s="4"/>
      <c r="I22" s="25"/>
      <c r="J22" s="5"/>
      <c r="K22" s="5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/>
      <c r="B23" s="66"/>
      <c r="C23" s="4"/>
      <c r="D23" s="4"/>
      <c r="E23" s="1"/>
      <c r="F23" s="1"/>
      <c r="G23" s="1"/>
      <c r="H23" s="4"/>
      <c r="I23" s="25"/>
      <c r="J23" s="5"/>
      <c r="K23" s="5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/>
      <c r="B24" s="66"/>
      <c r="C24" s="4"/>
      <c r="D24" s="4"/>
      <c r="E24" s="1"/>
      <c r="F24" s="1"/>
      <c r="G24" s="1"/>
      <c r="H24" s="4"/>
      <c r="I24" s="25"/>
      <c r="J24" s="5"/>
      <c r="K24" s="5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/>
      <c r="B25" s="66"/>
      <c r="C25" s="4"/>
      <c r="D25" s="4"/>
      <c r="E25" s="1"/>
      <c r="F25" s="1"/>
      <c r="G25" s="1"/>
      <c r="H25" s="4"/>
      <c r="I25" s="25"/>
      <c r="J25" s="5"/>
      <c r="K25" s="5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/>
      <c r="B26" s="66"/>
      <c r="C26" s="4"/>
      <c r="D26" s="4"/>
      <c r="E26" s="1"/>
      <c r="F26" s="1"/>
      <c r="G26" s="1"/>
      <c r="H26" s="4"/>
      <c r="I26" s="25"/>
      <c r="J26" s="5"/>
      <c r="K26" s="5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/>
      <c r="B27" s="66"/>
      <c r="C27" s="4"/>
      <c r="D27" s="4"/>
      <c r="E27" s="1"/>
      <c r="F27" s="1"/>
      <c r="G27" s="1"/>
      <c r="H27" s="4"/>
      <c r="I27" s="25"/>
      <c r="J27" s="5"/>
      <c r="K27" s="5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/>
      <c r="B28" s="66"/>
      <c r="C28" s="4"/>
      <c r="D28" s="4"/>
      <c r="E28" s="1"/>
      <c r="F28" s="1"/>
      <c r="G28" s="1"/>
      <c r="H28" s="4"/>
      <c r="I28" s="25"/>
      <c r="J28" s="5"/>
      <c r="K28" s="5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/>
      <c r="B29" s="66"/>
      <c r="C29" s="4"/>
      <c r="D29" s="4"/>
      <c r="E29" s="1"/>
      <c r="F29" s="1"/>
      <c r="G29" s="1"/>
      <c r="H29" s="4"/>
      <c r="I29" s="25"/>
      <c r="J29" s="5"/>
      <c r="K29" s="5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/>
      <c r="B30" s="66"/>
      <c r="C30" s="4"/>
      <c r="D30" s="4"/>
      <c r="E30" s="1"/>
      <c r="F30" s="1"/>
      <c r="G30" s="1"/>
      <c r="H30" s="4"/>
      <c r="I30" s="25"/>
      <c r="J30" s="5"/>
      <c r="K30" s="5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/>
      <c r="B31" s="66"/>
      <c r="C31" s="4"/>
      <c r="D31" s="4"/>
      <c r="E31" s="1"/>
      <c r="F31" s="1"/>
      <c r="G31" s="1"/>
      <c r="H31" s="4"/>
      <c r="I31" s="25"/>
      <c r="J31" s="5"/>
      <c r="K31" s="5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/>
      <c r="B32" s="66"/>
      <c r="C32" s="4"/>
      <c r="D32" s="4"/>
      <c r="E32" s="1"/>
      <c r="F32" s="1"/>
      <c r="G32" s="1"/>
      <c r="H32" s="4"/>
      <c r="I32" s="25"/>
      <c r="J32" s="5"/>
      <c r="K32" s="5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/>
      <c r="B33" s="66"/>
      <c r="C33" s="4"/>
      <c r="D33" s="4"/>
      <c r="E33" s="1"/>
      <c r="F33" s="1"/>
      <c r="G33" s="1"/>
      <c r="H33" s="4"/>
      <c r="I33" s="25"/>
      <c r="J33" s="5"/>
      <c r="K33" s="5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/>
      <c r="B34" s="66"/>
      <c r="C34" s="4"/>
      <c r="D34" s="4"/>
      <c r="E34" s="1"/>
      <c r="F34" s="1"/>
      <c r="G34" s="1"/>
      <c r="H34" s="4"/>
      <c r="I34" s="25"/>
      <c r="J34" s="5"/>
      <c r="K34" s="5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/>
      <c r="B35" s="66"/>
      <c r="C35" s="4"/>
      <c r="D35" s="4"/>
      <c r="E35" s="1"/>
      <c r="F35" s="1"/>
      <c r="G35" s="1"/>
      <c r="H35" s="4"/>
      <c r="I35" s="25"/>
      <c r="J35" s="5"/>
      <c r="K35" s="5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/>
      <c r="B36" s="66"/>
      <c r="C36" s="4"/>
      <c r="D36" s="4"/>
      <c r="E36" s="1"/>
      <c r="F36" s="1"/>
      <c r="G36" s="1"/>
      <c r="H36" s="4"/>
      <c r="I36" s="25"/>
      <c r="J36" s="5"/>
      <c r="K36" s="5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/>
      <c r="B37" s="66"/>
      <c r="C37" s="4"/>
      <c r="D37" s="4"/>
      <c r="E37" s="1"/>
      <c r="F37" s="1"/>
      <c r="G37" s="1"/>
      <c r="H37" s="4"/>
      <c r="I37" s="25"/>
      <c r="J37" s="5"/>
      <c r="K37" s="5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/>
      <c r="B38" s="66"/>
      <c r="C38" s="4"/>
      <c r="D38" s="4"/>
      <c r="E38" s="1"/>
      <c r="F38" s="1"/>
      <c r="G38" s="1"/>
      <c r="H38" s="4"/>
      <c r="I38" s="25"/>
      <c r="J38" s="5"/>
      <c r="K38" s="5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/>
      <c r="B39" s="66"/>
      <c r="C39" s="4"/>
      <c r="D39" s="4"/>
      <c r="E39" s="1"/>
      <c r="F39" s="1"/>
      <c r="G39" s="1"/>
      <c r="H39" s="4"/>
      <c r="I39" s="25"/>
      <c r="J39" s="5"/>
      <c r="K39" s="5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/>
      <c r="B40" s="66"/>
      <c r="C40" s="4"/>
      <c r="D40" s="4"/>
      <c r="E40" s="1"/>
      <c r="F40" s="1"/>
      <c r="G40" s="1"/>
      <c r="H40" s="4"/>
      <c r="I40" s="25"/>
      <c r="J40" s="5"/>
      <c r="K40" s="5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/>
      <c r="B41" s="66"/>
      <c r="C41" s="4"/>
      <c r="D41" s="4"/>
      <c r="E41" s="1"/>
      <c r="F41" s="1"/>
      <c r="G41" s="1"/>
      <c r="H41" s="4"/>
      <c r="I41" s="25"/>
      <c r="J41" s="5"/>
      <c r="K41" s="5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/>
      <c r="B42" s="66"/>
      <c r="C42" s="4"/>
      <c r="D42" s="4"/>
      <c r="E42" s="1"/>
      <c r="F42" s="1"/>
      <c r="G42" s="1"/>
      <c r="H42" s="4"/>
      <c r="I42" s="25"/>
      <c r="J42" s="5"/>
      <c r="K42" s="5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/>
      <c r="B43" s="66"/>
      <c r="C43" s="4"/>
      <c r="D43" s="4"/>
      <c r="E43" s="1"/>
      <c r="F43" s="1"/>
      <c r="G43" s="1"/>
      <c r="H43" s="4"/>
      <c r="I43" s="25"/>
      <c r="J43" s="5"/>
      <c r="K43" s="5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/>
      <c r="B44" s="66"/>
      <c r="C44" s="4"/>
      <c r="D44" s="4"/>
      <c r="E44" s="1"/>
      <c r="F44" s="1"/>
      <c r="G44" s="1"/>
      <c r="H44" s="4"/>
      <c r="I44" s="25"/>
      <c r="J44" s="5"/>
      <c r="K44" s="5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/>
      <c r="B45" s="66"/>
      <c r="C45" s="4"/>
      <c r="D45" s="4"/>
      <c r="E45" s="1"/>
      <c r="F45" s="1"/>
      <c r="G45" s="1"/>
      <c r="H45" s="4"/>
      <c r="I45" s="25"/>
      <c r="J45" s="5"/>
      <c r="K45" s="5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/>
      <c r="B46" s="66"/>
      <c r="C46" s="4"/>
      <c r="D46" s="4"/>
      <c r="E46" s="1"/>
      <c r="F46" s="1"/>
      <c r="G46" s="1"/>
      <c r="H46" s="4"/>
      <c r="I46" s="25"/>
      <c r="J46" s="5"/>
      <c r="K46" s="5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/>
      <c r="B47" s="66"/>
      <c r="C47" s="4"/>
      <c r="D47" s="4"/>
      <c r="E47" s="1"/>
      <c r="F47" s="1"/>
      <c r="G47" s="1"/>
      <c r="H47" s="4"/>
      <c r="I47" s="25"/>
      <c r="J47" s="5"/>
      <c r="K47" s="5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/>
      <c r="B48" s="66"/>
      <c r="C48" s="4"/>
      <c r="D48" s="4"/>
      <c r="E48" s="1"/>
      <c r="F48" s="1"/>
      <c r="G48" s="1"/>
      <c r="H48" s="4"/>
      <c r="I48" s="25"/>
      <c r="J48" s="5"/>
      <c r="K48" s="5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/>
      <c r="B49" s="66"/>
      <c r="C49" s="4"/>
      <c r="D49" s="4"/>
      <c r="E49" s="1"/>
      <c r="F49" s="1"/>
      <c r="G49" s="1"/>
      <c r="H49" s="4"/>
      <c r="I49" s="25"/>
      <c r="J49" s="5"/>
      <c r="K49" s="5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/>
      <c r="B50" s="66"/>
      <c r="C50" s="4"/>
      <c r="D50" s="4"/>
      <c r="E50" s="1"/>
      <c r="F50" s="1"/>
      <c r="G50" s="1"/>
      <c r="H50" s="4"/>
      <c r="I50" s="25"/>
      <c r="J50" s="5"/>
      <c r="K50" s="5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/>
      <c r="B51" s="66"/>
      <c r="C51" s="4"/>
      <c r="D51" s="4"/>
      <c r="E51" s="1"/>
      <c r="F51" s="1"/>
      <c r="G51" s="1"/>
      <c r="H51" s="4"/>
      <c r="I51" s="25"/>
      <c r="J51" s="5"/>
      <c r="K51" s="5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/>
      <c r="B52" s="66"/>
      <c r="C52" s="4"/>
      <c r="D52" s="1"/>
      <c r="E52" s="1"/>
      <c r="F52" s="1"/>
      <c r="G52" s="1"/>
      <c r="H52" s="4"/>
      <c r="I52" s="25"/>
      <c r="J52" s="5"/>
      <c r="K52" s="5"/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/>
      <c r="B53" s="66"/>
      <c r="C53" s="4"/>
      <c r="D53" s="1"/>
      <c r="E53" s="1"/>
      <c r="F53" s="1"/>
      <c r="G53" s="1"/>
      <c r="H53" s="4"/>
      <c r="I53" s="25"/>
      <c r="J53" s="5"/>
      <c r="K53" s="5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/>
      <c r="B54" s="66"/>
      <c r="C54" s="4"/>
      <c r="D54" s="1"/>
      <c r="E54" s="1"/>
      <c r="F54" s="1"/>
      <c r="G54" s="1"/>
      <c r="H54" s="4"/>
      <c r="I54" s="25"/>
      <c r="J54" s="5"/>
      <c r="K54" s="5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/>
      <c r="B55" s="66"/>
      <c r="C55" s="4"/>
      <c r="D55" s="1"/>
      <c r="E55" s="1"/>
      <c r="F55" s="1"/>
      <c r="G55" s="1"/>
      <c r="H55" s="4"/>
      <c r="I55" s="25"/>
      <c r="J55" s="5"/>
      <c r="K55" s="5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/>
      <c r="B56" s="66"/>
      <c r="C56" s="4"/>
      <c r="D56" s="1"/>
      <c r="E56" s="1"/>
      <c r="F56" s="1"/>
      <c r="G56" s="1"/>
      <c r="H56" s="4"/>
      <c r="I56" s="25"/>
      <c r="J56" s="5"/>
      <c r="K56" s="5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/>
      <c r="B57" s="66"/>
      <c r="C57" s="4"/>
      <c r="D57" s="1"/>
      <c r="E57" s="1"/>
      <c r="F57" s="1"/>
      <c r="G57" s="1"/>
      <c r="H57" s="4"/>
      <c r="I57" s="25"/>
      <c r="J57" s="5"/>
      <c r="K57" s="5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/>
      <c r="B58" s="66"/>
      <c r="C58" s="4"/>
      <c r="D58" s="1"/>
      <c r="E58" s="1"/>
      <c r="F58" s="1"/>
      <c r="G58" s="1"/>
      <c r="H58" s="4"/>
      <c r="I58" s="25"/>
      <c r="J58" s="5"/>
      <c r="K58" s="5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/>
      <c r="B59" s="66"/>
      <c r="C59" s="4"/>
      <c r="D59" s="1"/>
      <c r="E59" s="1"/>
      <c r="F59" s="1"/>
      <c r="G59" s="1"/>
      <c r="H59" s="4"/>
      <c r="I59" s="25"/>
      <c r="J59" s="5"/>
      <c r="K59" s="5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/>
      <c r="B60" s="66"/>
      <c r="C60" s="4"/>
      <c r="D60" s="1"/>
      <c r="E60" s="1"/>
      <c r="F60" s="1"/>
      <c r="G60" s="1"/>
      <c r="H60" s="4"/>
      <c r="I60" s="25"/>
      <c r="J60" s="5"/>
      <c r="K60" s="5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/>
      <c r="B61" s="66"/>
      <c r="C61" s="4"/>
      <c r="D61" s="1"/>
      <c r="E61" s="1"/>
      <c r="F61" s="1"/>
      <c r="G61" s="1"/>
      <c r="H61" s="4"/>
      <c r="I61" s="25"/>
      <c r="J61" s="5"/>
      <c r="K61" s="5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/>
      <c r="B62" s="66"/>
      <c r="C62" s="4"/>
      <c r="D62" s="4"/>
      <c r="E62" s="1"/>
      <c r="F62" s="1"/>
      <c r="G62" s="1"/>
      <c r="H62" s="4"/>
      <c r="I62" s="25"/>
      <c r="J62" s="5"/>
      <c r="K62" s="5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/>
      <c r="B63" s="66"/>
      <c r="C63" s="4"/>
      <c r="D63" s="4"/>
      <c r="E63" s="1"/>
      <c r="F63" s="1"/>
      <c r="G63" s="1"/>
      <c r="H63" s="4"/>
      <c r="I63" s="25"/>
      <c r="J63" s="5"/>
      <c r="K63" s="5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/>
      <c r="B64" s="66"/>
      <c r="C64" s="4"/>
      <c r="D64" s="4"/>
      <c r="E64" s="1"/>
      <c r="F64" s="1"/>
      <c r="G64" s="1"/>
      <c r="H64" s="4"/>
      <c r="I64" s="25"/>
      <c r="J64" s="5"/>
      <c r="K64" s="5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/>
      <c r="B65" s="66"/>
      <c r="C65" s="4"/>
      <c r="D65" s="4"/>
      <c r="E65" s="1"/>
      <c r="F65" s="1"/>
      <c r="G65" s="1"/>
      <c r="H65" s="4"/>
      <c r="I65" s="25"/>
      <c r="J65" s="5"/>
      <c r="K65" s="5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/>
      <c r="B66" s="66"/>
      <c r="C66" s="4"/>
      <c r="D66" s="4"/>
      <c r="E66" s="1"/>
      <c r="F66" s="1"/>
      <c r="G66" s="1"/>
      <c r="H66" s="4"/>
      <c r="I66" s="25"/>
      <c r="J66" s="5"/>
      <c r="K66" s="5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/>
      <c r="B67" s="66"/>
      <c r="C67" s="4"/>
      <c r="D67" s="4"/>
      <c r="E67" s="1"/>
      <c r="F67" s="1"/>
      <c r="G67" s="1"/>
      <c r="H67" s="4"/>
      <c r="I67" s="25"/>
      <c r="J67" s="5"/>
      <c r="K67" s="5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/>
      <c r="B68" s="2"/>
      <c r="C68" s="4"/>
      <c r="D68" s="4"/>
      <c r="E68" s="1"/>
      <c r="F68" s="1"/>
      <c r="G68" s="1"/>
      <c r="H68" s="4"/>
      <c r="I68" s="25"/>
      <c r="J68" s="5"/>
      <c r="K68" s="5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/>
      <c r="B69" s="2"/>
      <c r="C69" s="4"/>
      <c r="D69" s="4"/>
      <c r="E69" s="1"/>
      <c r="F69" s="1"/>
      <c r="G69" s="1"/>
      <c r="H69" s="4"/>
      <c r="I69" s="25"/>
      <c r="J69" s="5"/>
      <c r="K69" s="5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/>
      <c r="B70" s="2"/>
      <c r="C70" s="4"/>
      <c r="D70" s="4"/>
      <c r="E70" s="1"/>
      <c r="F70" s="1"/>
      <c r="G70" s="1"/>
      <c r="H70" s="4"/>
      <c r="I70" s="25"/>
      <c r="J70" s="5"/>
      <c r="K70" s="5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/>
      <c r="B71" s="2"/>
      <c r="C71" s="4"/>
      <c r="D71" s="4"/>
      <c r="E71" s="1"/>
      <c r="F71" s="1"/>
      <c r="G71" s="1"/>
      <c r="H71" s="4"/>
      <c r="I71" s="25"/>
      <c r="J71" s="5"/>
      <c r="K71" s="5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/>
      <c r="B72" s="2"/>
      <c r="C72" s="4"/>
      <c r="D72" s="1"/>
      <c r="E72" s="1"/>
      <c r="F72" s="1"/>
      <c r="G72" s="1"/>
      <c r="H72" s="4"/>
      <c r="I72" s="25"/>
      <c r="J72" s="5"/>
      <c r="K72" s="5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/>
      <c r="B73" s="2"/>
      <c r="C73" s="4"/>
      <c r="D73" s="1"/>
      <c r="E73" s="1"/>
      <c r="F73" s="1"/>
      <c r="G73" s="1"/>
      <c r="H73" s="4"/>
      <c r="I73" s="25"/>
      <c r="J73" s="5"/>
      <c r="K73" s="5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/>
      <c r="B74" s="2"/>
      <c r="C74" s="4"/>
      <c r="D74" s="1"/>
      <c r="E74" s="1"/>
      <c r="F74" s="1"/>
      <c r="G74" s="1"/>
      <c r="H74" s="4"/>
      <c r="I74" s="25"/>
      <c r="J74" s="5"/>
      <c r="K74" s="5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/>
      <c r="B75" s="2"/>
      <c r="C75" s="4"/>
      <c r="D75" s="1"/>
      <c r="E75" s="1"/>
      <c r="F75" s="1"/>
      <c r="G75" s="1"/>
      <c r="H75" s="4"/>
      <c r="I75" s="25"/>
      <c r="J75" s="5"/>
      <c r="K75" s="5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/>
      <c r="B76" s="2"/>
      <c r="C76" s="4"/>
      <c r="D76" s="1"/>
      <c r="E76" s="1"/>
      <c r="F76" s="1"/>
      <c r="G76" s="1"/>
      <c r="H76" s="4"/>
      <c r="I76" s="25"/>
      <c r="J76" s="5"/>
      <c r="K76" s="5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/>
      <c r="B77" s="2"/>
      <c r="C77" s="4"/>
      <c r="D77" s="1"/>
      <c r="E77" s="1"/>
      <c r="F77" s="1"/>
      <c r="G77" s="1"/>
      <c r="H77" s="4"/>
      <c r="I77" s="25"/>
      <c r="J77" s="5"/>
      <c r="K77" s="5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/>
      <c r="B78" s="2"/>
      <c r="C78" s="4"/>
      <c r="D78" s="4"/>
      <c r="E78" s="1"/>
      <c r="F78" s="1"/>
      <c r="G78" s="1"/>
      <c r="H78" s="4"/>
      <c r="I78" s="25"/>
      <c r="J78" s="5"/>
      <c r="K78" s="5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/>
      <c r="B79" s="2"/>
      <c r="C79" s="4"/>
      <c r="D79" s="4"/>
      <c r="E79" s="1"/>
      <c r="F79" s="1"/>
      <c r="G79" s="1"/>
      <c r="H79" s="4"/>
      <c r="I79" s="25"/>
      <c r="J79" s="5"/>
      <c r="K79" s="5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/>
      <c r="B80" s="2"/>
      <c r="C80" s="4"/>
      <c r="D80" s="4"/>
      <c r="E80" s="1"/>
      <c r="F80" s="1"/>
      <c r="G80" s="1"/>
      <c r="H80" s="4"/>
      <c r="I80" s="25"/>
      <c r="J80" s="5"/>
      <c r="K80" s="5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/>
      <c r="B81" s="2"/>
      <c r="C81" s="4"/>
      <c r="D81" s="4"/>
      <c r="E81" s="1"/>
      <c r="F81" s="1"/>
      <c r="G81" s="1"/>
      <c r="H81" s="4"/>
      <c r="I81" s="25"/>
      <c r="J81" s="5"/>
      <c r="K81" s="5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/>
      <c r="B82" s="2"/>
      <c r="C82" s="4"/>
      <c r="D82" s="4"/>
      <c r="E82" s="1"/>
      <c r="F82" s="1"/>
      <c r="G82" s="1"/>
      <c r="H82" s="4"/>
      <c r="I82" s="25"/>
      <c r="J82" s="5"/>
      <c r="K82" s="5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/>
      <c r="B83" s="2"/>
      <c r="C83" s="4"/>
      <c r="D83" s="4"/>
      <c r="E83" s="1"/>
      <c r="F83" s="1"/>
      <c r="G83" s="1"/>
      <c r="H83" s="4"/>
      <c r="I83" s="25"/>
      <c r="J83" s="5"/>
      <c r="K83" s="5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/>
      <c r="B84" s="2"/>
      <c r="C84" s="4"/>
      <c r="D84" s="4"/>
      <c r="E84" s="1"/>
      <c r="F84" s="1"/>
      <c r="G84" s="1"/>
      <c r="H84" s="4"/>
      <c r="I84" s="25"/>
      <c r="J84" s="5"/>
      <c r="K84" s="5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/>
      <c r="B85" s="2"/>
      <c r="C85" s="4"/>
      <c r="D85" s="4"/>
      <c r="E85" s="1"/>
      <c r="F85" s="1"/>
      <c r="G85" s="1"/>
      <c r="H85" s="4"/>
      <c r="I85" s="25"/>
      <c r="J85" s="5"/>
      <c r="K85" s="5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/>
      <c r="B86" s="2"/>
      <c r="C86" s="4"/>
      <c r="D86" s="4"/>
      <c r="E86" s="1"/>
      <c r="F86" s="1"/>
      <c r="G86" s="1"/>
      <c r="H86" s="4"/>
      <c r="I86" s="25"/>
      <c r="J86" s="5"/>
      <c r="K86" s="5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/>
      <c r="B87" s="2"/>
      <c r="C87" s="4"/>
      <c r="D87" s="1"/>
      <c r="E87" s="1"/>
      <c r="F87" s="1"/>
      <c r="G87" s="1"/>
      <c r="H87" s="4"/>
      <c r="I87" s="25"/>
      <c r="J87" s="5"/>
      <c r="K87" s="5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/>
      <c r="B88" s="2"/>
      <c r="C88" s="4"/>
      <c r="D88" s="1"/>
      <c r="E88" s="1"/>
      <c r="F88" s="1"/>
      <c r="G88" s="1"/>
      <c r="H88" s="4"/>
      <c r="I88" s="25"/>
      <c r="J88" s="5"/>
      <c r="K88" s="5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/>
      <c r="B89" s="2"/>
      <c r="C89" s="4"/>
      <c r="D89" s="1"/>
      <c r="E89" s="1"/>
      <c r="F89" s="1"/>
      <c r="G89" s="1"/>
      <c r="H89" s="4"/>
      <c r="I89" s="25"/>
      <c r="J89" s="5"/>
      <c r="K89" s="5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/>
      <c r="B90" s="2"/>
      <c r="C90" s="4"/>
      <c r="D90" s="4"/>
      <c r="E90" s="1"/>
      <c r="F90" s="1"/>
      <c r="G90" s="1"/>
      <c r="H90" s="4"/>
      <c r="I90" s="25"/>
      <c r="J90" s="5"/>
      <c r="K90" s="5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/>
      <c r="B91" s="2"/>
      <c r="C91" s="4"/>
      <c r="D91" s="4"/>
      <c r="E91" s="1"/>
      <c r="F91" s="1"/>
      <c r="G91" s="1"/>
      <c r="H91" s="4"/>
      <c r="I91" s="25"/>
      <c r="J91" s="5"/>
      <c r="K91" s="5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/>
      <c r="B92" s="2"/>
      <c r="C92" s="4"/>
      <c r="D92" s="4"/>
      <c r="E92" s="1"/>
      <c r="F92" s="1"/>
      <c r="G92" s="1"/>
      <c r="H92" s="4"/>
      <c r="I92" s="25"/>
      <c r="J92" s="5"/>
      <c r="K92" s="5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/>
      <c r="B93" s="2"/>
      <c r="C93" s="4"/>
      <c r="D93" s="4"/>
      <c r="E93" s="1"/>
      <c r="F93" s="1"/>
      <c r="G93" s="1"/>
      <c r="H93" s="4"/>
      <c r="I93" s="25"/>
      <c r="J93" s="5"/>
      <c r="K93" s="5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/>
      <c r="B94" s="2"/>
      <c r="C94" s="4"/>
      <c r="D94" s="1"/>
      <c r="E94" s="1"/>
      <c r="F94" s="1"/>
      <c r="G94" s="1"/>
      <c r="H94" s="4"/>
      <c r="I94" s="25"/>
      <c r="J94" s="5"/>
      <c r="K94" s="5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/>
      <c r="B95" s="2"/>
      <c r="C95" s="4"/>
      <c r="D95" s="1"/>
      <c r="E95" s="1"/>
      <c r="F95" s="1"/>
      <c r="G95" s="1"/>
      <c r="H95" s="4"/>
      <c r="I95" s="25"/>
      <c r="J95" s="5"/>
      <c r="K95" s="5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/>
      <c r="B96" s="2"/>
      <c r="C96" s="4"/>
      <c r="D96" s="1"/>
      <c r="E96" s="1"/>
      <c r="F96" s="1"/>
      <c r="G96" s="1"/>
      <c r="H96" s="4"/>
      <c r="I96" s="25"/>
      <c r="J96" s="5"/>
      <c r="K96" s="5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/>
      <c r="B97" s="2"/>
      <c r="C97" s="4"/>
      <c r="D97" s="1"/>
      <c r="E97" s="1"/>
      <c r="F97" s="1"/>
      <c r="G97" s="1"/>
      <c r="H97" s="4"/>
      <c r="I97" s="25"/>
      <c r="J97" s="5"/>
      <c r="K97" s="5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/>
      <c r="B98" s="2"/>
      <c r="C98" s="4"/>
      <c r="D98" s="1"/>
      <c r="E98" s="1"/>
      <c r="F98" s="1"/>
      <c r="G98" s="1"/>
      <c r="H98" s="4"/>
      <c r="I98" s="25"/>
      <c r="J98" s="5"/>
      <c r="K98" s="5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/>
      <c r="B99" s="2"/>
      <c r="C99" s="4"/>
      <c r="D99" s="1"/>
      <c r="E99" s="1"/>
      <c r="F99" s="1"/>
      <c r="G99" s="1"/>
      <c r="H99" s="4"/>
      <c r="I99" s="25"/>
      <c r="J99" s="5"/>
      <c r="K99" s="5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/>
      <c r="B100" s="2"/>
      <c r="C100" s="4"/>
      <c r="D100" s="1"/>
      <c r="E100" s="1"/>
      <c r="F100" s="1"/>
      <c r="G100" s="1"/>
      <c r="H100" s="4"/>
      <c r="I100" s="25"/>
      <c r="J100" s="5"/>
      <c r="K100" s="5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/>
      <c r="B101" s="2"/>
      <c r="C101" s="4"/>
      <c r="D101" s="1"/>
      <c r="E101" s="1"/>
      <c r="F101" s="1"/>
      <c r="G101" s="1"/>
      <c r="H101" s="4"/>
      <c r="I101" s="25"/>
      <c r="J101" s="5"/>
      <c r="K101" s="5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/>
      <c r="B102" s="2"/>
      <c r="C102" s="4"/>
      <c r="D102" s="1"/>
      <c r="E102" s="1"/>
      <c r="F102" s="1"/>
      <c r="G102" s="1"/>
      <c r="H102" s="4"/>
      <c r="I102" s="25"/>
      <c r="J102" s="5"/>
      <c r="K102" s="5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/>
      <c r="B103" s="2"/>
      <c r="C103" s="4"/>
      <c r="D103" s="1"/>
      <c r="E103" s="1"/>
      <c r="F103" s="1"/>
      <c r="G103" s="1"/>
      <c r="H103" s="4"/>
      <c r="I103" s="25"/>
      <c r="J103" s="5"/>
      <c r="K103" s="5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/>
      <c r="B104" s="2"/>
      <c r="C104" s="4"/>
      <c r="D104" s="1"/>
      <c r="E104" s="1"/>
      <c r="F104" s="1"/>
      <c r="G104" s="1"/>
      <c r="H104" s="4"/>
      <c r="I104" s="25"/>
      <c r="J104" s="5"/>
      <c r="K104" s="5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/>
      <c r="B105" s="2"/>
      <c r="C105" s="4"/>
      <c r="D105" s="1"/>
      <c r="E105" s="1"/>
      <c r="F105" s="1"/>
      <c r="G105" s="1"/>
      <c r="H105" s="4"/>
      <c r="I105" s="25"/>
      <c r="J105" s="5"/>
      <c r="K105" s="5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/>
      <c r="B106" s="2"/>
      <c r="C106" s="4"/>
      <c r="D106" s="4"/>
      <c r="E106" s="1"/>
      <c r="F106" s="1"/>
      <c r="G106" s="1"/>
      <c r="H106" s="4"/>
      <c r="I106" s="25"/>
      <c r="J106" s="5"/>
      <c r="K106" s="5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/>
      <c r="B107" s="2"/>
      <c r="C107" s="4"/>
      <c r="D107" s="4"/>
      <c r="E107" s="1"/>
      <c r="F107" s="1"/>
      <c r="G107" s="1"/>
      <c r="H107" s="4"/>
      <c r="I107" s="25"/>
      <c r="J107" s="5"/>
      <c r="K107" s="5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/>
      <c r="B108" s="2"/>
      <c r="C108" s="4"/>
      <c r="D108" s="4"/>
      <c r="E108" s="1"/>
      <c r="F108" s="1"/>
      <c r="G108" s="1"/>
      <c r="H108" s="4"/>
      <c r="I108" s="25"/>
      <c r="J108" s="5"/>
      <c r="K108" s="5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/>
      <c r="B109" s="2"/>
      <c r="C109" s="4"/>
      <c r="D109" s="4"/>
      <c r="E109" s="1"/>
      <c r="F109" s="1"/>
      <c r="G109" s="1"/>
      <c r="H109" s="4"/>
      <c r="I109" s="25"/>
      <c r="J109" s="5"/>
      <c r="K109" s="5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/>
      <c r="B110" s="2"/>
      <c r="C110" s="4"/>
      <c r="D110" s="4"/>
      <c r="E110" s="1"/>
      <c r="F110" s="1"/>
      <c r="G110" s="1"/>
      <c r="H110" s="4"/>
      <c r="I110" s="25"/>
      <c r="J110" s="5"/>
      <c r="K110" s="5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/>
      <c r="B111" s="2"/>
      <c r="C111" s="4"/>
      <c r="D111" s="4"/>
      <c r="E111" s="1"/>
      <c r="F111" s="1"/>
      <c r="G111" s="1"/>
      <c r="H111" s="4"/>
      <c r="I111" s="25"/>
      <c r="J111" s="5"/>
      <c r="K111" s="5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/>
      <c r="B112" s="2"/>
      <c r="C112" s="4"/>
      <c r="D112" s="4"/>
      <c r="E112" s="1"/>
      <c r="F112" s="1"/>
      <c r="G112" s="1"/>
      <c r="H112" s="4"/>
      <c r="I112" s="25"/>
      <c r="J112" s="5"/>
      <c r="K112" s="5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/>
      <c r="B113" s="2"/>
      <c r="C113" s="4"/>
      <c r="D113" s="4"/>
      <c r="E113" s="1"/>
      <c r="F113" s="1"/>
      <c r="G113" s="1"/>
      <c r="H113" s="4"/>
      <c r="I113" s="25"/>
      <c r="J113" s="5"/>
      <c r="K113" s="5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/>
      <c r="B114" s="2"/>
      <c r="C114" s="4"/>
      <c r="D114" s="4"/>
      <c r="E114" s="1"/>
      <c r="F114" s="1"/>
      <c r="G114" s="1"/>
      <c r="H114" s="4"/>
      <c r="I114" s="25"/>
      <c r="J114" s="5"/>
      <c r="K114" s="5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/>
      <c r="B115" s="2"/>
      <c r="C115" s="4"/>
      <c r="D115" s="4"/>
      <c r="E115" s="1"/>
      <c r="F115" s="1"/>
      <c r="G115" s="1"/>
      <c r="H115" s="4"/>
      <c r="I115" s="25"/>
      <c r="J115" s="5"/>
      <c r="K115" s="5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/>
      <c r="B116" s="2"/>
      <c r="C116" s="4"/>
      <c r="D116" s="4"/>
      <c r="E116" s="1"/>
      <c r="F116" s="1"/>
      <c r="G116" s="1"/>
      <c r="H116" s="4"/>
      <c r="I116" s="25"/>
      <c r="J116" s="5"/>
      <c r="K116" s="5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/>
      <c r="B117" s="2"/>
      <c r="C117" s="4"/>
      <c r="D117" s="4"/>
      <c r="E117" s="1"/>
      <c r="F117" s="1"/>
      <c r="G117" s="1"/>
      <c r="H117" s="4"/>
      <c r="I117" s="25"/>
      <c r="J117" s="5"/>
      <c r="K117" s="5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/>
      <c r="B118" s="2"/>
      <c r="C118" s="4"/>
      <c r="D118" s="4"/>
      <c r="E118" s="1"/>
      <c r="F118" s="1"/>
      <c r="G118" s="1"/>
      <c r="H118" s="4"/>
      <c r="I118" s="25"/>
      <c r="J118" s="5"/>
      <c r="K118" s="5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/>
      <c r="B119" s="2"/>
      <c r="C119" s="4"/>
      <c r="D119" s="4"/>
      <c r="E119" s="1"/>
      <c r="F119" s="1"/>
      <c r="G119" s="1"/>
      <c r="H119" s="4"/>
      <c r="I119" s="25"/>
      <c r="J119" s="5"/>
      <c r="K119" s="5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/>
      <c r="B120" s="2"/>
      <c r="C120" s="4"/>
      <c r="D120" s="4"/>
      <c r="E120" s="1"/>
      <c r="F120" s="1"/>
      <c r="G120" s="1"/>
      <c r="H120" s="4"/>
      <c r="I120" s="25"/>
      <c r="J120" s="5"/>
      <c r="K120" s="5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/>
      <c r="B121" s="2"/>
      <c r="C121" s="4"/>
      <c r="D121" s="4"/>
      <c r="E121" s="1"/>
      <c r="F121" s="1"/>
      <c r="G121" s="1"/>
      <c r="H121" s="4"/>
      <c r="I121" s="25"/>
      <c r="J121" s="5"/>
      <c r="K121" s="5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/>
      <c r="B122" s="2"/>
      <c r="C122" s="4"/>
      <c r="D122" s="4"/>
      <c r="E122" s="1"/>
      <c r="F122" s="1"/>
      <c r="G122" s="1"/>
      <c r="H122" s="4"/>
      <c r="I122" s="25"/>
      <c r="J122" s="5"/>
      <c r="K122" s="5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/>
      <c r="B123" s="2"/>
      <c r="C123" s="4"/>
      <c r="D123" s="4"/>
      <c r="E123" s="1"/>
      <c r="F123" s="1"/>
      <c r="G123" s="1"/>
      <c r="H123" s="4"/>
      <c r="I123" s="25"/>
      <c r="J123" s="5"/>
      <c r="K123" s="5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/>
      <c r="B124" s="2"/>
      <c r="C124" s="4"/>
      <c r="D124" s="4"/>
      <c r="E124" s="1"/>
      <c r="F124" s="1"/>
      <c r="G124" s="1"/>
      <c r="H124" s="4"/>
      <c r="I124" s="25"/>
      <c r="J124" s="5"/>
      <c r="K124" s="5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/>
      <c r="B125" s="2"/>
      <c r="C125" s="4"/>
      <c r="D125" s="1"/>
      <c r="E125" s="1"/>
      <c r="F125" s="1"/>
      <c r="G125" s="1"/>
      <c r="H125" s="4"/>
      <c r="I125" s="25"/>
      <c r="J125" s="5"/>
      <c r="K125" s="5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/>
      <c r="B126" s="2"/>
      <c r="C126" s="4"/>
      <c r="D126" s="1"/>
      <c r="E126" s="1"/>
      <c r="F126" s="1"/>
      <c r="G126" s="1"/>
      <c r="H126" s="4"/>
      <c r="I126" s="25"/>
      <c r="J126" s="5"/>
      <c r="K126" s="5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/>
      <c r="B127" s="2"/>
      <c r="C127" s="4"/>
      <c r="D127" s="1"/>
      <c r="E127" s="1"/>
      <c r="F127" s="1"/>
      <c r="G127" s="1"/>
      <c r="H127" s="4"/>
      <c r="I127" s="25"/>
      <c r="J127" s="5"/>
      <c r="K127" s="5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/>
      <c r="B128" s="2"/>
      <c r="C128" s="4"/>
      <c r="D128" s="1"/>
      <c r="E128" s="1"/>
      <c r="F128" s="1"/>
      <c r="G128" s="1"/>
      <c r="H128" s="4"/>
      <c r="I128" s="25"/>
      <c r="J128" s="5"/>
      <c r="K128" s="5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/>
      <c r="B129" s="2"/>
      <c r="C129" s="4"/>
      <c r="D129" s="1"/>
      <c r="E129" s="1"/>
      <c r="F129" s="1"/>
      <c r="G129" s="1"/>
      <c r="H129" s="4"/>
      <c r="I129" s="25"/>
      <c r="J129" s="5"/>
      <c r="K129" s="5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/>
      <c r="B130" s="2"/>
      <c r="C130" s="4"/>
      <c r="D130" s="1"/>
      <c r="E130" s="50"/>
      <c r="F130" s="1"/>
      <c r="G130" s="1"/>
      <c r="H130" s="4"/>
      <c r="I130" s="25"/>
      <c r="J130" s="5"/>
      <c r="K130" s="5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/>
      <c r="B131" s="2"/>
      <c r="C131" s="4"/>
      <c r="D131" s="1"/>
      <c r="E131" s="50"/>
      <c r="F131" s="1"/>
      <c r="G131" s="1"/>
      <c r="H131" s="4"/>
      <c r="I131" s="25"/>
      <c r="J131" s="5"/>
      <c r="K131" s="5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/>
      <c r="B132" s="2"/>
      <c r="C132" s="4"/>
      <c r="D132" s="1"/>
      <c r="E132" s="50"/>
      <c r="F132" s="1"/>
      <c r="G132" s="1"/>
      <c r="H132" s="4"/>
      <c r="I132" s="25"/>
      <c r="J132" s="5"/>
      <c r="K132" s="5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/>
      <c r="B133" s="2"/>
      <c r="C133" s="4"/>
      <c r="D133" s="1"/>
      <c r="E133" s="50"/>
      <c r="F133" s="1"/>
      <c r="G133" s="1"/>
      <c r="H133" s="4"/>
      <c r="I133" s="25"/>
      <c r="J133" s="5"/>
      <c r="K133" s="5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/>
      <c r="B134" s="2"/>
      <c r="C134" s="4"/>
      <c r="D134" s="1"/>
      <c r="E134" s="50"/>
      <c r="F134" s="1"/>
      <c r="G134" s="1"/>
      <c r="H134" s="4"/>
      <c r="I134" s="25"/>
      <c r="J134" s="5"/>
      <c r="K134" s="5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/>
      <c r="B135" s="2"/>
      <c r="C135" s="4"/>
      <c r="D135" s="1"/>
      <c r="E135" s="50"/>
      <c r="F135" s="1"/>
      <c r="G135" s="1"/>
      <c r="H135" s="4"/>
      <c r="I135" s="25"/>
      <c r="J135" s="5"/>
      <c r="K135" s="5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/>
      <c r="B136" s="2"/>
      <c r="C136" s="4"/>
      <c r="D136" s="1"/>
      <c r="E136" s="50"/>
      <c r="F136" s="1"/>
      <c r="G136" s="1"/>
      <c r="H136" s="4"/>
      <c r="I136" s="25"/>
      <c r="J136" s="5"/>
      <c r="K136" s="5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/>
      <c r="B137" s="2"/>
      <c r="C137" s="4"/>
      <c r="D137" s="1"/>
      <c r="E137" s="50"/>
      <c r="F137" s="1"/>
      <c r="G137" s="1"/>
      <c r="H137" s="4"/>
      <c r="I137" s="25"/>
      <c r="J137" s="5"/>
      <c r="K137" s="5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/>
      <c r="B138" s="2"/>
      <c r="C138" s="4"/>
      <c r="D138" s="1"/>
      <c r="E138" s="50"/>
      <c r="F138" s="1"/>
      <c r="G138" s="1"/>
      <c r="H138" s="4"/>
      <c r="I138" s="25"/>
      <c r="J138" s="5"/>
      <c r="K138" s="5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/>
      <c r="B139" s="2"/>
      <c r="C139" s="4"/>
      <c r="D139" s="1"/>
      <c r="E139" s="50"/>
      <c r="F139" s="1"/>
      <c r="G139" s="1"/>
      <c r="H139" s="4"/>
      <c r="I139" s="25"/>
      <c r="J139" s="5"/>
      <c r="K139" s="5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/>
      <c r="B140" s="2"/>
      <c r="C140" s="4"/>
      <c r="D140" s="1"/>
      <c r="E140" s="50"/>
      <c r="F140" s="1"/>
      <c r="G140" s="1"/>
      <c r="H140" s="4"/>
      <c r="I140" s="25"/>
      <c r="J140" s="5"/>
      <c r="K140" s="5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/>
      <c r="B141" s="2"/>
      <c r="C141" s="4"/>
      <c r="D141" s="1"/>
      <c r="E141" s="1"/>
      <c r="F141" s="1"/>
      <c r="G141" s="1"/>
      <c r="H141" s="4"/>
      <c r="I141" s="25"/>
      <c r="J141" s="5"/>
      <c r="K141" s="5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/>
      <c r="B142" s="2"/>
      <c r="C142" s="4"/>
      <c r="D142" s="1"/>
      <c r="E142" s="1"/>
      <c r="F142" s="1"/>
      <c r="G142" s="1"/>
      <c r="H142" s="4"/>
      <c r="I142" s="25"/>
      <c r="J142" s="5"/>
      <c r="K142" s="5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/>
      <c r="B143" s="2"/>
      <c r="C143" s="4"/>
      <c r="D143" s="1"/>
      <c r="E143" s="1"/>
      <c r="F143" s="1"/>
      <c r="G143" s="1"/>
      <c r="H143" s="4"/>
      <c r="I143" s="25"/>
      <c r="J143" s="5"/>
      <c r="K143" s="5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/>
      <c r="B144" s="2"/>
      <c r="C144" s="4"/>
      <c r="D144" s="1"/>
      <c r="E144" s="1"/>
      <c r="F144" s="1"/>
      <c r="G144" s="1"/>
      <c r="H144" s="4"/>
      <c r="I144" s="25"/>
      <c r="J144" s="5"/>
      <c r="K144" s="5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/>
      <c r="B145" s="2"/>
      <c r="C145" s="4"/>
      <c r="D145" s="1"/>
      <c r="E145" s="1"/>
      <c r="F145" s="1"/>
      <c r="G145" s="1"/>
      <c r="H145" s="4"/>
      <c r="I145" s="25"/>
      <c r="J145" s="5"/>
      <c r="K145" s="5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/>
      <c r="B146" s="2"/>
      <c r="C146" s="4"/>
      <c r="D146" s="1"/>
      <c r="E146" s="1"/>
      <c r="F146" s="1"/>
      <c r="G146" s="1"/>
      <c r="H146" s="4"/>
      <c r="I146" s="25"/>
      <c r="J146" s="5"/>
      <c r="K146" s="5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/>
      <c r="B147" s="2"/>
      <c r="C147" s="4"/>
      <c r="D147" s="1"/>
      <c r="E147" s="1"/>
      <c r="F147" s="1"/>
      <c r="G147" s="1"/>
      <c r="H147" s="4"/>
      <c r="I147" s="25"/>
      <c r="J147" s="5"/>
      <c r="K147" s="5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/>
      <c r="B148" s="2"/>
      <c r="C148" s="4"/>
      <c r="D148" s="1"/>
      <c r="E148" s="1"/>
      <c r="F148" s="1"/>
      <c r="G148" s="1"/>
      <c r="H148" s="4"/>
      <c r="I148" s="25"/>
      <c r="J148" s="5"/>
      <c r="K148" s="5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/>
      <c r="B149" s="2"/>
      <c r="C149" s="4"/>
      <c r="D149" s="1"/>
      <c r="E149" s="1"/>
      <c r="F149" s="1"/>
      <c r="G149" s="1"/>
      <c r="H149" s="4"/>
      <c r="I149" s="25"/>
      <c r="J149" s="5"/>
      <c r="K149" s="5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/>
      <c r="B150" s="2"/>
      <c r="C150" s="4"/>
      <c r="D150" s="1"/>
      <c r="E150" s="1"/>
      <c r="F150" s="1"/>
      <c r="G150" s="1"/>
      <c r="H150" s="4"/>
      <c r="I150" s="25"/>
      <c r="J150" s="5"/>
      <c r="K150" s="5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/>
      <c r="B151" s="2"/>
      <c r="C151" s="4"/>
      <c r="D151" s="1"/>
      <c r="E151" s="1"/>
      <c r="F151" s="1"/>
      <c r="G151" s="1"/>
      <c r="H151" s="4"/>
      <c r="I151" s="25"/>
      <c r="J151" s="5"/>
      <c r="K151" s="5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/>
      <c r="B152" s="2"/>
      <c r="C152" s="4"/>
      <c r="D152" s="1"/>
      <c r="E152" s="1"/>
      <c r="F152" s="1"/>
      <c r="G152" s="1"/>
      <c r="H152" s="4"/>
      <c r="I152" s="25"/>
      <c r="J152" s="5"/>
      <c r="K152" s="5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/>
      <c r="B153" s="2"/>
      <c r="C153" s="4"/>
      <c r="D153" s="1"/>
      <c r="E153" s="1"/>
      <c r="F153" s="1"/>
      <c r="G153" s="1"/>
      <c r="H153" s="4"/>
      <c r="I153" s="25"/>
      <c r="J153" s="5"/>
      <c r="K153" s="5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/>
      <c r="B154" s="2"/>
      <c r="C154" s="4"/>
      <c r="D154" s="1"/>
      <c r="E154" s="1"/>
      <c r="F154" s="1"/>
      <c r="G154" s="1"/>
      <c r="H154" s="4"/>
      <c r="I154" s="25"/>
      <c r="J154" s="5"/>
      <c r="K154" s="5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/>
      <c r="B155" s="2"/>
      <c r="C155" s="4"/>
      <c r="D155" s="1"/>
      <c r="E155" s="1"/>
      <c r="F155" s="1"/>
      <c r="G155" s="1"/>
      <c r="H155" s="4"/>
      <c r="I155" s="25"/>
      <c r="J155" s="5"/>
      <c r="K155" s="5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/>
      <c r="B156" s="2"/>
      <c r="C156" s="4"/>
      <c r="D156" s="1"/>
      <c r="E156" s="1"/>
      <c r="F156" s="1"/>
      <c r="G156" s="1"/>
      <c r="H156" s="4"/>
      <c r="I156" s="25"/>
      <c r="J156" s="5"/>
      <c r="K156" s="5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/>
      <c r="B157" s="2"/>
      <c r="C157" s="4"/>
      <c r="D157" s="1"/>
      <c r="E157" s="1"/>
      <c r="F157" s="1"/>
      <c r="G157" s="1"/>
      <c r="H157" s="4"/>
      <c r="I157" s="25"/>
      <c r="J157" s="5"/>
      <c r="K157" s="5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/>
      <c r="B158" s="2"/>
      <c r="C158" s="4"/>
      <c r="D158" s="1"/>
      <c r="E158" s="1"/>
      <c r="F158" s="1"/>
      <c r="G158" s="1"/>
      <c r="H158" s="4"/>
      <c r="I158" s="25"/>
      <c r="J158" s="5"/>
      <c r="K158" s="5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/>
      <c r="B159" s="2"/>
      <c r="C159" s="4"/>
      <c r="D159" s="1"/>
      <c r="E159" s="1"/>
      <c r="F159" s="1"/>
      <c r="G159" s="1"/>
      <c r="H159" s="4"/>
      <c r="I159" s="25"/>
      <c r="J159" s="5"/>
      <c r="K159" s="5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/>
      <c r="B160" s="2"/>
      <c r="C160" s="4"/>
      <c r="D160" s="1"/>
      <c r="E160" s="1"/>
      <c r="F160" s="1"/>
      <c r="G160" s="1"/>
      <c r="H160" s="4"/>
      <c r="I160" s="25"/>
      <c r="J160" s="5"/>
      <c r="K160" s="5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/>
      <c r="B161" s="2"/>
      <c r="C161" s="4"/>
      <c r="D161" s="1"/>
      <c r="E161" s="1"/>
      <c r="F161" s="1"/>
      <c r="G161" s="1"/>
      <c r="H161" s="4"/>
      <c r="I161" s="25"/>
      <c r="J161" s="5"/>
      <c r="K161" s="5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/>
      <c r="B162" s="2"/>
      <c r="C162" s="4"/>
      <c r="D162" s="1"/>
      <c r="E162" s="1"/>
      <c r="F162" s="1"/>
      <c r="G162" s="1"/>
      <c r="H162" s="4"/>
      <c r="I162" s="25"/>
      <c r="J162" s="5"/>
      <c r="K162" s="5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/>
      <c r="B163" s="2"/>
      <c r="C163" s="4"/>
      <c r="D163" s="1"/>
      <c r="E163" s="1"/>
      <c r="F163" s="1"/>
      <c r="G163" s="1"/>
      <c r="H163" s="4"/>
      <c r="I163" s="25"/>
      <c r="J163" s="5"/>
      <c r="K163" s="5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/>
      <c r="B164" s="2"/>
      <c r="C164" s="4"/>
      <c r="D164" s="1"/>
      <c r="E164" s="1"/>
      <c r="F164" s="1"/>
      <c r="G164" s="1"/>
      <c r="H164" s="4"/>
      <c r="I164" s="25"/>
      <c r="J164" s="5"/>
      <c r="K164" s="5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/>
      <c r="B165" s="2"/>
      <c r="C165" s="4"/>
      <c r="D165" s="1"/>
      <c r="E165" s="1"/>
      <c r="F165" s="1"/>
      <c r="G165" s="1"/>
      <c r="H165" s="4"/>
      <c r="I165" s="25"/>
      <c r="J165" s="5"/>
      <c r="K165" s="5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/>
      <c r="B166" s="2"/>
      <c r="C166" s="4"/>
      <c r="D166" s="1"/>
      <c r="E166" s="1"/>
      <c r="F166" s="1"/>
      <c r="G166" s="1"/>
      <c r="H166" s="4"/>
      <c r="I166" s="25"/>
      <c r="J166" s="5"/>
      <c r="K166" s="5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/>
      <c r="B167" s="2"/>
      <c r="C167" s="4"/>
      <c r="D167" s="1"/>
      <c r="E167" s="1"/>
      <c r="F167" s="1"/>
      <c r="G167" s="1"/>
      <c r="H167" s="4"/>
      <c r="I167" s="25"/>
      <c r="J167" s="5"/>
      <c r="K167" s="5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/>
      <c r="B168" s="2"/>
      <c r="C168" s="4"/>
      <c r="D168" s="1"/>
      <c r="E168" s="1"/>
      <c r="F168" s="1"/>
      <c r="G168" s="1"/>
      <c r="H168" s="4"/>
      <c r="I168" s="25"/>
      <c r="J168" s="5"/>
      <c r="K168" s="5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/>
      <c r="B169" s="2"/>
      <c r="C169" s="4"/>
      <c r="D169" s="1"/>
      <c r="E169" s="1"/>
      <c r="F169" s="1"/>
      <c r="G169" s="1"/>
      <c r="H169" s="4"/>
      <c r="I169" s="25"/>
      <c r="J169" s="5"/>
      <c r="K169" s="5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/>
      <c r="B170" s="2"/>
      <c r="C170" s="4"/>
      <c r="D170" s="1"/>
      <c r="E170" s="1"/>
      <c r="F170" s="1"/>
      <c r="G170" s="1"/>
      <c r="H170" s="4"/>
      <c r="I170" s="25"/>
      <c r="J170" s="5"/>
      <c r="K170" s="5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/>
      <c r="B171" s="2"/>
      <c r="C171" s="4"/>
      <c r="D171" s="1"/>
      <c r="E171" s="1"/>
      <c r="F171" s="1"/>
      <c r="G171" s="1"/>
      <c r="H171" s="4"/>
      <c r="I171" s="25"/>
      <c r="J171" s="5"/>
      <c r="K171" s="5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/>
      <c r="B172" s="2"/>
      <c r="C172" s="4"/>
      <c r="D172" s="1"/>
      <c r="E172" s="1"/>
      <c r="F172" s="1"/>
      <c r="G172" s="1"/>
      <c r="H172" s="4"/>
      <c r="I172" s="25"/>
      <c r="J172" s="5"/>
      <c r="K172" s="5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/>
      <c r="B173" s="2"/>
      <c r="C173" s="4"/>
      <c r="D173" s="1"/>
      <c r="E173" s="1"/>
      <c r="F173" s="1"/>
      <c r="G173" s="1"/>
      <c r="H173" s="4"/>
      <c r="I173" s="25"/>
      <c r="J173" s="5"/>
      <c r="K173" s="5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/>
      <c r="B174" s="2"/>
      <c r="C174" s="4"/>
      <c r="D174" s="1"/>
      <c r="E174" s="1"/>
      <c r="F174" s="1"/>
      <c r="G174" s="1"/>
      <c r="H174" s="4"/>
      <c r="I174" s="25"/>
      <c r="J174" s="5"/>
      <c r="K174" s="5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/>
      <c r="B175" s="2"/>
      <c r="C175" s="4"/>
      <c r="D175" s="1"/>
      <c r="E175" s="1"/>
      <c r="F175" s="1"/>
      <c r="G175" s="1"/>
      <c r="H175" s="4"/>
      <c r="I175" s="25"/>
      <c r="J175" s="5"/>
      <c r="K175" s="5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/>
      <c r="B176" s="2"/>
      <c r="C176" s="4"/>
      <c r="D176" s="1"/>
      <c r="E176" s="1"/>
      <c r="F176" s="1"/>
      <c r="G176" s="1"/>
      <c r="H176" s="4"/>
      <c r="I176" s="25"/>
      <c r="J176" s="5"/>
      <c r="K176" s="5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/>
      <c r="B177" s="2"/>
      <c r="C177" s="4"/>
      <c r="D177" s="1"/>
      <c r="E177" s="1"/>
      <c r="F177" s="1"/>
      <c r="G177" s="1"/>
      <c r="H177" s="4"/>
      <c r="I177" s="25"/>
      <c r="J177" s="5"/>
      <c r="K177" s="5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/>
      <c r="B178" s="2"/>
      <c r="C178" s="4"/>
      <c r="D178" s="1"/>
      <c r="E178" s="1"/>
      <c r="F178" s="1"/>
      <c r="G178" s="1"/>
      <c r="H178" s="4"/>
      <c r="I178" s="1"/>
      <c r="J178" s="5"/>
      <c r="K178" s="5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4"/>
      <c r="D179" s="1"/>
      <c r="E179" s="1"/>
      <c r="F179" s="1" t="str">
        <f t="shared" ref="F179:F180" si="1">A179&amp;E179</f>
        <v/>
      </c>
      <c r="G179" s="1" t="str">
        <f>_xludf.IFNA(VLOOKUP(E179,Master!D:J,4,0),"")</f>
        <v>#NAME?</v>
      </c>
      <c r="H179" s="4"/>
      <c r="I179" s="2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4"/>
      <c r="D180" s="1"/>
      <c r="E180" s="1"/>
      <c r="F180" s="1" t="str">
        <f t="shared" si="1"/>
        <v/>
      </c>
      <c r="G180" s="1" t="str">
        <f>_xludf.IFNA(VLOOKUP(E180,Master!D:J,4,0),"")</f>
        <v>#NAME?</v>
      </c>
      <c r="H180" s="4"/>
      <c r="I180" s="2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4"/>
      <c r="D181" s="1"/>
      <c r="E181" s="1"/>
      <c r="F181" s="1"/>
      <c r="G181" s="1"/>
      <c r="H181" s="4"/>
      <c r="I181" s="2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4"/>
      <c r="D182" s="1"/>
      <c r="E182" s="1"/>
      <c r="F182" s="1"/>
      <c r="G182" s="1"/>
      <c r="H182" s="4"/>
      <c r="I182" s="2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4"/>
      <c r="D183" s="1"/>
      <c r="E183" s="1"/>
      <c r="F183" s="1"/>
      <c r="G183" s="1"/>
      <c r="H183" s="4"/>
      <c r="I183" s="2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4"/>
      <c r="D184" s="1"/>
      <c r="E184" s="1"/>
      <c r="F184" s="1"/>
      <c r="G184" s="1"/>
      <c r="H184" s="4"/>
      <c r="I184" s="2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4"/>
      <c r="D185" s="1"/>
      <c r="E185" s="1"/>
      <c r="F185" s="1"/>
      <c r="G185" s="1"/>
      <c r="H185" s="4"/>
      <c r="I185" s="2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4"/>
      <c r="D186" s="1"/>
      <c r="E186" s="1"/>
      <c r="F186" s="1"/>
      <c r="G186" s="1"/>
      <c r="H186" s="4"/>
      <c r="I186" s="2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4"/>
      <c r="D187" s="1"/>
      <c r="E187" s="1"/>
      <c r="F187" s="1"/>
      <c r="G187" s="1"/>
      <c r="H187" s="4"/>
      <c r="I187" s="2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4"/>
      <c r="D188" s="1"/>
      <c r="E188" s="1"/>
      <c r="F188" s="1"/>
      <c r="G188" s="1"/>
      <c r="H188" s="4"/>
      <c r="I188" s="2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4"/>
      <c r="D189" s="1"/>
      <c r="E189" s="1"/>
      <c r="F189" s="1"/>
      <c r="G189" s="1"/>
      <c r="H189" s="4"/>
      <c r="I189" s="2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4"/>
      <c r="D190" s="1"/>
      <c r="E190" s="1"/>
      <c r="F190" s="1"/>
      <c r="G190" s="1"/>
      <c r="H190" s="4"/>
      <c r="I190" s="2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4"/>
      <c r="D191" s="1"/>
      <c r="E191" s="1"/>
      <c r="F191" s="1"/>
      <c r="G191" s="1"/>
      <c r="H191" s="4"/>
      <c r="I191" s="2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4"/>
      <c r="D192" s="1"/>
      <c r="E192" s="1"/>
      <c r="F192" s="1"/>
      <c r="G192" s="1"/>
      <c r="H192" s="4"/>
      <c r="I192" s="2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4"/>
      <c r="D193" s="1"/>
      <c r="E193" s="1"/>
      <c r="F193" s="1"/>
      <c r="G193" s="1"/>
      <c r="H193" s="4"/>
      <c r="I193" s="2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4"/>
      <c r="D194" s="1"/>
      <c r="E194" s="1"/>
      <c r="F194" s="1"/>
      <c r="G194" s="1"/>
      <c r="H194" s="4"/>
      <c r="I194" s="2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4"/>
      <c r="D195" s="1"/>
      <c r="E195" s="1"/>
      <c r="F195" s="1"/>
      <c r="G195" s="1"/>
      <c r="H195" s="4"/>
      <c r="I195" s="2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4"/>
      <c r="D196" s="1"/>
      <c r="E196" s="1"/>
      <c r="F196" s="1"/>
      <c r="G196" s="1"/>
      <c r="H196" s="4"/>
      <c r="I196" s="2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4"/>
      <c r="D197" s="1"/>
      <c r="E197" s="1"/>
      <c r="F197" s="1"/>
      <c r="G197" s="1"/>
      <c r="H197" s="4"/>
      <c r="I197" s="2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4"/>
      <c r="D198" s="1"/>
      <c r="E198" s="1"/>
      <c r="F198" s="1"/>
      <c r="G198" s="1"/>
      <c r="H198" s="4"/>
      <c r="I198" s="2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4"/>
      <c r="D199" s="1"/>
      <c r="E199" s="1"/>
      <c r="F199" s="1"/>
      <c r="G199" s="1"/>
      <c r="H199" s="4"/>
      <c r="I199" s="2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4"/>
      <c r="D200" s="1"/>
      <c r="E200" s="1"/>
      <c r="F200" s="1"/>
      <c r="G200" s="1"/>
      <c r="H200" s="4"/>
      <c r="I200" s="2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4"/>
      <c r="D201" s="1"/>
      <c r="E201" s="1"/>
      <c r="F201" s="1"/>
      <c r="G201" s="1"/>
      <c r="H201" s="4"/>
      <c r="I201" s="2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4"/>
      <c r="D202" s="1"/>
      <c r="E202" s="1"/>
      <c r="F202" s="1"/>
      <c r="G202" s="1"/>
      <c r="H202" s="4"/>
      <c r="I202" s="2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4"/>
      <c r="D203" s="1"/>
      <c r="E203" s="1"/>
      <c r="F203" s="1"/>
      <c r="G203" s="1"/>
      <c r="H203" s="4"/>
      <c r="I203" s="2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4"/>
      <c r="D204" s="1"/>
      <c r="E204" s="1"/>
      <c r="F204" s="1"/>
      <c r="G204" s="1"/>
      <c r="H204" s="4"/>
      <c r="I204" s="2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4"/>
      <c r="D205" s="1"/>
      <c r="E205" s="1"/>
      <c r="F205" s="1"/>
      <c r="G205" s="1"/>
      <c r="H205" s="4"/>
      <c r="I205" s="2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4"/>
      <c r="D206" s="1"/>
      <c r="E206" s="1"/>
      <c r="F206" s="1"/>
      <c r="G206" s="1"/>
      <c r="H206" s="4"/>
      <c r="I206" s="2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4"/>
      <c r="D207" s="1"/>
      <c r="E207" s="1"/>
      <c r="F207" s="1"/>
      <c r="G207" s="1"/>
      <c r="H207" s="4"/>
      <c r="I207" s="2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4"/>
      <c r="D208" s="1"/>
      <c r="E208" s="1"/>
      <c r="F208" s="1"/>
      <c r="G208" s="1"/>
      <c r="H208" s="4"/>
      <c r="I208" s="2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4"/>
      <c r="D209" s="1"/>
      <c r="E209" s="1"/>
      <c r="F209" s="1"/>
      <c r="G209" s="1"/>
      <c r="H209" s="4"/>
      <c r="I209" s="2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4"/>
      <c r="D210" s="1"/>
      <c r="E210" s="1"/>
      <c r="F210" s="1"/>
      <c r="G210" s="1"/>
      <c r="H210" s="4"/>
      <c r="I210" s="2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4"/>
      <c r="D211" s="1"/>
      <c r="E211" s="1"/>
      <c r="F211" s="1"/>
      <c r="G211" s="1"/>
      <c r="H211" s="4"/>
      <c r="I211" s="2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4"/>
      <c r="D212" s="1"/>
      <c r="E212" s="1"/>
      <c r="F212" s="1"/>
      <c r="G212" s="1"/>
      <c r="H212" s="4"/>
      <c r="I212" s="2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4"/>
      <c r="D213" s="1"/>
      <c r="E213" s="1"/>
      <c r="F213" s="1"/>
      <c r="G213" s="1"/>
      <c r="H213" s="4"/>
      <c r="I213" s="2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4"/>
      <c r="D214" s="1"/>
      <c r="E214" s="1"/>
      <c r="F214" s="1"/>
      <c r="G214" s="1"/>
      <c r="H214" s="4"/>
      <c r="I214" s="2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4"/>
      <c r="D215" s="1"/>
      <c r="E215" s="1"/>
      <c r="F215" s="1"/>
      <c r="G215" s="1"/>
      <c r="H215" s="4"/>
      <c r="I215" s="2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4"/>
      <c r="D216" s="1"/>
      <c r="E216" s="1"/>
      <c r="F216" s="1"/>
      <c r="G216" s="1"/>
      <c r="H216" s="4"/>
      <c r="I216" s="2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4"/>
      <c r="D217" s="1"/>
      <c r="E217" s="1"/>
      <c r="F217" s="1"/>
      <c r="G217" s="1"/>
      <c r="H217" s="4"/>
      <c r="I217" s="2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4"/>
      <c r="D218" s="1"/>
      <c r="E218" s="1"/>
      <c r="F218" s="1"/>
      <c r="G218" s="1"/>
      <c r="H218" s="4"/>
      <c r="I218" s="2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4"/>
      <c r="D219" s="1"/>
      <c r="E219" s="1"/>
      <c r="F219" s="1"/>
      <c r="G219" s="1"/>
      <c r="H219" s="4"/>
      <c r="I219" s="2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4"/>
      <c r="D220" s="1"/>
      <c r="E220" s="1"/>
      <c r="F220" s="1"/>
      <c r="G220" s="1"/>
      <c r="H220" s="4"/>
      <c r="I220" s="2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4"/>
      <c r="D221" s="1"/>
      <c r="E221" s="1"/>
      <c r="F221" s="1"/>
      <c r="G221" s="1"/>
      <c r="H221" s="4"/>
      <c r="I221" s="2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4"/>
      <c r="D222" s="1"/>
      <c r="E222" s="1"/>
      <c r="F222" s="1"/>
      <c r="G222" s="1"/>
      <c r="H222" s="4"/>
      <c r="I222" s="2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4"/>
      <c r="D223" s="1"/>
      <c r="E223" s="1"/>
      <c r="F223" s="1"/>
      <c r="G223" s="1"/>
      <c r="H223" s="4"/>
      <c r="I223" s="2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4"/>
      <c r="D224" s="1"/>
      <c r="E224" s="1"/>
      <c r="F224" s="1"/>
      <c r="G224" s="1"/>
      <c r="H224" s="4"/>
      <c r="I224" s="2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4"/>
      <c r="D225" s="1"/>
      <c r="E225" s="1"/>
      <c r="F225" s="1"/>
      <c r="G225" s="1"/>
      <c r="H225" s="4"/>
      <c r="I225" s="2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4"/>
      <c r="D226" s="1"/>
      <c r="E226" s="1"/>
      <c r="F226" s="1"/>
      <c r="G226" s="1"/>
      <c r="H226" s="4"/>
      <c r="I226" s="2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4"/>
      <c r="D227" s="1"/>
      <c r="E227" s="1"/>
      <c r="F227" s="1"/>
      <c r="G227" s="1"/>
      <c r="H227" s="4"/>
      <c r="I227" s="2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4"/>
      <c r="D228" s="1"/>
      <c r="E228" s="1"/>
      <c r="F228" s="1"/>
      <c r="G228" s="1"/>
      <c r="H228" s="4"/>
      <c r="I228" s="2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4"/>
      <c r="D229" s="1"/>
      <c r="E229" s="1"/>
      <c r="F229" s="1"/>
      <c r="G229" s="1"/>
      <c r="H229" s="4"/>
      <c r="I229" s="2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4"/>
      <c r="D230" s="1"/>
      <c r="E230" s="1"/>
      <c r="F230" s="1"/>
      <c r="G230" s="1"/>
      <c r="H230" s="4"/>
      <c r="I230" s="2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4"/>
      <c r="D231" s="1"/>
      <c r="E231" s="1"/>
      <c r="F231" s="1"/>
      <c r="G231" s="1"/>
      <c r="H231" s="4"/>
      <c r="I231" s="2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4"/>
      <c r="D232" s="1"/>
      <c r="E232" s="1"/>
      <c r="F232" s="1"/>
      <c r="G232" s="1"/>
      <c r="H232" s="4"/>
      <c r="I232" s="2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4"/>
      <c r="D233" s="1"/>
      <c r="E233" s="1"/>
      <c r="F233" s="1"/>
      <c r="G233" s="1"/>
      <c r="H233" s="4"/>
      <c r="I233" s="2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4"/>
      <c r="D234" s="1"/>
      <c r="E234" s="1"/>
      <c r="F234" s="1"/>
      <c r="G234" s="1"/>
      <c r="H234" s="4"/>
      <c r="I234" s="2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4"/>
      <c r="D235" s="1"/>
      <c r="E235" s="1"/>
      <c r="F235" s="1"/>
      <c r="G235" s="1"/>
      <c r="H235" s="4"/>
      <c r="I235" s="2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4"/>
      <c r="D236" s="1"/>
      <c r="E236" s="1"/>
      <c r="F236" s="1"/>
      <c r="G236" s="1"/>
      <c r="H236" s="4"/>
      <c r="I236" s="2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4"/>
      <c r="D237" s="1"/>
      <c r="E237" s="1"/>
      <c r="F237" s="1"/>
      <c r="G237" s="1"/>
      <c r="H237" s="4"/>
      <c r="I237" s="2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4"/>
      <c r="D238" s="1"/>
      <c r="E238" s="1"/>
      <c r="F238" s="1"/>
      <c r="G238" s="1"/>
      <c r="H238" s="4"/>
      <c r="I238" s="2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4"/>
      <c r="D239" s="1"/>
      <c r="E239" s="1"/>
      <c r="F239" s="1"/>
      <c r="G239" s="1"/>
      <c r="H239" s="4"/>
      <c r="I239" s="2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4"/>
      <c r="D240" s="1"/>
      <c r="E240" s="1"/>
      <c r="F240" s="1"/>
      <c r="G240" s="1"/>
      <c r="H240" s="4"/>
      <c r="I240" s="2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4"/>
      <c r="D241" s="1"/>
      <c r="E241" s="1"/>
      <c r="F241" s="1"/>
      <c r="G241" s="1"/>
      <c r="H241" s="4"/>
      <c r="I241" s="2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4"/>
      <c r="D242" s="1"/>
      <c r="E242" s="1"/>
      <c r="F242" s="1"/>
      <c r="G242" s="1"/>
      <c r="H242" s="4"/>
      <c r="I242" s="2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4"/>
      <c r="D243" s="1"/>
      <c r="E243" s="1"/>
      <c r="F243" s="1"/>
      <c r="G243" s="1"/>
      <c r="H243" s="4"/>
      <c r="I243" s="2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4"/>
      <c r="D244" s="1"/>
      <c r="E244" s="1"/>
      <c r="F244" s="1"/>
      <c r="G244" s="1"/>
      <c r="H244" s="4"/>
      <c r="I244" s="2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4"/>
      <c r="D245" s="1"/>
      <c r="E245" s="1"/>
      <c r="F245" s="1"/>
      <c r="G245" s="1"/>
      <c r="H245" s="4"/>
      <c r="I245" s="2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4"/>
      <c r="D246" s="1"/>
      <c r="E246" s="1"/>
      <c r="F246" s="1"/>
      <c r="G246" s="1"/>
      <c r="H246" s="4"/>
      <c r="I246" s="2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4"/>
      <c r="D247" s="1"/>
      <c r="E247" s="1"/>
      <c r="F247" s="1"/>
      <c r="G247" s="1"/>
      <c r="H247" s="4"/>
      <c r="I247" s="2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4"/>
      <c r="D248" s="1"/>
      <c r="E248" s="1"/>
      <c r="F248" s="1"/>
      <c r="G248" s="1"/>
      <c r="H248" s="4"/>
      <c r="I248" s="2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4"/>
      <c r="D249" s="1"/>
      <c r="E249" s="1"/>
      <c r="F249" s="1"/>
      <c r="G249" s="1"/>
      <c r="H249" s="4"/>
      <c r="I249" s="2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4"/>
      <c r="D250" s="1"/>
      <c r="E250" s="1"/>
      <c r="F250" s="1"/>
      <c r="G250" s="1"/>
      <c r="H250" s="4"/>
      <c r="I250" s="2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4"/>
      <c r="D251" s="1"/>
      <c r="E251" s="1"/>
      <c r="F251" s="1"/>
      <c r="G251" s="1"/>
      <c r="H251" s="4"/>
      <c r="I251" s="2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4"/>
      <c r="D252" s="1"/>
      <c r="E252" s="1"/>
      <c r="F252" s="1"/>
      <c r="G252" s="1"/>
      <c r="H252" s="4"/>
      <c r="I252" s="2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4"/>
      <c r="D253" s="1"/>
      <c r="E253" s="1"/>
      <c r="F253" s="1"/>
      <c r="G253" s="1"/>
      <c r="H253" s="4"/>
      <c r="I253" s="2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4"/>
      <c r="D254" s="1"/>
      <c r="E254" s="1"/>
      <c r="F254" s="1"/>
      <c r="G254" s="1"/>
      <c r="H254" s="4"/>
      <c r="I254" s="2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4"/>
      <c r="D255" s="1"/>
      <c r="E255" s="1"/>
      <c r="F255" s="1"/>
      <c r="G255" s="1"/>
      <c r="H255" s="4"/>
      <c r="I255" s="2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4"/>
      <c r="D256" s="1"/>
      <c r="E256" s="1"/>
      <c r="F256" s="1"/>
      <c r="G256" s="1"/>
      <c r="H256" s="4"/>
      <c r="I256" s="2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4"/>
      <c r="D257" s="1"/>
      <c r="E257" s="1"/>
      <c r="F257" s="1"/>
      <c r="G257" s="1"/>
      <c r="H257" s="4"/>
      <c r="I257" s="2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4"/>
      <c r="D258" s="1"/>
      <c r="E258" s="1"/>
      <c r="F258" s="1"/>
      <c r="G258" s="1"/>
      <c r="H258" s="4"/>
      <c r="I258" s="2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4"/>
      <c r="D259" s="1"/>
      <c r="E259" s="1"/>
      <c r="F259" s="1"/>
      <c r="G259" s="1"/>
      <c r="H259" s="4"/>
      <c r="I259" s="2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4"/>
      <c r="D260" s="1"/>
      <c r="E260" s="1"/>
      <c r="F260" s="1"/>
      <c r="G260" s="1"/>
      <c r="H260" s="4"/>
      <c r="I260" s="2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4"/>
      <c r="D261" s="1"/>
      <c r="E261" s="1"/>
      <c r="F261" s="1"/>
      <c r="G261" s="1"/>
      <c r="H261" s="4"/>
      <c r="I261" s="2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4"/>
      <c r="D262" s="1"/>
      <c r="E262" s="1"/>
      <c r="F262" s="1"/>
      <c r="G262" s="1"/>
      <c r="H262" s="4"/>
      <c r="I262" s="2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4"/>
      <c r="D263" s="1"/>
      <c r="E263" s="1"/>
      <c r="F263" s="1"/>
      <c r="G263" s="1"/>
      <c r="H263" s="4"/>
      <c r="I263" s="2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4"/>
      <c r="D264" s="1"/>
      <c r="E264" s="1"/>
      <c r="F264" s="1"/>
      <c r="G264" s="1"/>
      <c r="H264" s="4"/>
      <c r="I264" s="2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4"/>
      <c r="D265" s="1"/>
      <c r="E265" s="1"/>
      <c r="F265" s="1"/>
      <c r="G265" s="1"/>
      <c r="H265" s="4"/>
      <c r="I265" s="2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4"/>
      <c r="D266" s="1"/>
      <c r="E266" s="1"/>
      <c r="F266" s="1"/>
      <c r="G266" s="1"/>
      <c r="H266" s="4"/>
      <c r="I266" s="2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4"/>
      <c r="D267" s="1"/>
      <c r="E267" s="1"/>
      <c r="F267" s="1"/>
      <c r="G267" s="1"/>
      <c r="H267" s="4"/>
      <c r="I267" s="2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4"/>
      <c r="D268" s="1"/>
      <c r="E268" s="1"/>
      <c r="F268" s="1"/>
      <c r="G268" s="1"/>
      <c r="H268" s="4"/>
      <c r="I268" s="2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4"/>
      <c r="D269" s="1"/>
      <c r="E269" s="1"/>
      <c r="F269" s="1"/>
      <c r="G269" s="1"/>
      <c r="H269" s="4"/>
      <c r="I269" s="2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4"/>
      <c r="D270" s="1"/>
      <c r="E270" s="1"/>
      <c r="F270" s="1"/>
      <c r="G270" s="1"/>
      <c r="H270" s="4"/>
      <c r="I270" s="2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4"/>
      <c r="D271" s="1"/>
      <c r="E271" s="1"/>
      <c r="F271" s="1"/>
      <c r="G271" s="1"/>
      <c r="H271" s="4"/>
      <c r="I271" s="2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4"/>
      <c r="D272" s="1"/>
      <c r="E272" s="1"/>
      <c r="F272" s="1"/>
      <c r="G272" s="1"/>
      <c r="H272" s="4"/>
      <c r="I272" s="2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4"/>
      <c r="D273" s="1"/>
      <c r="E273" s="1"/>
      <c r="F273" s="1"/>
      <c r="G273" s="1"/>
      <c r="H273" s="4"/>
      <c r="I273" s="2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4"/>
      <c r="D274" s="1"/>
      <c r="E274" s="1"/>
      <c r="F274" s="1"/>
      <c r="G274" s="1"/>
      <c r="H274" s="4"/>
      <c r="I274" s="2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4"/>
      <c r="D275" s="1"/>
      <c r="E275" s="1"/>
      <c r="F275" s="1"/>
      <c r="G275" s="1"/>
      <c r="H275" s="4"/>
      <c r="I275" s="2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4"/>
      <c r="D276" s="1"/>
      <c r="E276" s="1"/>
      <c r="F276" s="1"/>
      <c r="G276" s="1"/>
      <c r="H276" s="4"/>
      <c r="I276" s="2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4"/>
      <c r="D277" s="1"/>
      <c r="E277" s="1"/>
      <c r="F277" s="1"/>
      <c r="G277" s="1"/>
      <c r="H277" s="4"/>
      <c r="I277" s="2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4"/>
      <c r="D278" s="1"/>
      <c r="E278" s="1"/>
      <c r="F278" s="1"/>
      <c r="G278" s="1"/>
      <c r="H278" s="4"/>
      <c r="I278" s="2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4"/>
      <c r="D279" s="1"/>
      <c r="E279" s="1"/>
      <c r="F279" s="1"/>
      <c r="G279" s="1"/>
      <c r="H279" s="4"/>
      <c r="I279" s="2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4"/>
      <c r="D280" s="1"/>
      <c r="E280" s="1"/>
      <c r="F280" s="1"/>
      <c r="G280" s="1"/>
      <c r="H280" s="4"/>
      <c r="I280" s="2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4"/>
      <c r="D281" s="1"/>
      <c r="E281" s="1"/>
      <c r="F281" s="1"/>
      <c r="G281" s="1"/>
      <c r="H281" s="4"/>
      <c r="I281" s="2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4"/>
      <c r="D282" s="1"/>
      <c r="E282" s="1"/>
      <c r="F282" s="1"/>
      <c r="G282" s="1"/>
      <c r="H282" s="4"/>
      <c r="I282" s="2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4"/>
      <c r="D283" s="1"/>
      <c r="E283" s="1"/>
      <c r="F283" s="1"/>
      <c r="G283" s="1"/>
      <c r="H283" s="4"/>
      <c r="I283" s="2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4"/>
      <c r="D284" s="1"/>
      <c r="E284" s="1"/>
      <c r="F284" s="1"/>
      <c r="G284" s="1"/>
      <c r="H284" s="4"/>
      <c r="I284" s="2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4"/>
      <c r="D285" s="1"/>
      <c r="E285" s="1"/>
      <c r="F285" s="1"/>
      <c r="G285" s="1"/>
      <c r="H285" s="4"/>
      <c r="I285" s="2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4"/>
      <c r="D286" s="1"/>
      <c r="E286" s="1"/>
      <c r="F286" s="1"/>
      <c r="G286" s="1"/>
      <c r="H286" s="4"/>
      <c r="I286" s="2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4"/>
      <c r="D287" s="1"/>
      <c r="E287" s="1"/>
      <c r="F287" s="1"/>
      <c r="G287" s="1"/>
      <c r="H287" s="4"/>
      <c r="I287" s="2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4"/>
      <c r="D288" s="1"/>
      <c r="E288" s="1"/>
      <c r="F288" s="1"/>
      <c r="G288" s="1"/>
      <c r="H288" s="4"/>
      <c r="I288" s="2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4"/>
      <c r="D289" s="1"/>
      <c r="E289" s="1"/>
      <c r="F289" s="1"/>
      <c r="G289" s="1"/>
      <c r="H289" s="4"/>
      <c r="I289" s="2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4"/>
      <c r="D290" s="1"/>
      <c r="E290" s="1"/>
      <c r="F290" s="1"/>
      <c r="G290" s="1"/>
      <c r="H290" s="4"/>
      <c r="I290" s="2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4"/>
      <c r="D291" s="1"/>
      <c r="E291" s="1"/>
      <c r="F291" s="1"/>
      <c r="G291" s="1"/>
      <c r="H291" s="4"/>
      <c r="I291" s="2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4"/>
      <c r="D292" s="1"/>
      <c r="E292" s="1"/>
      <c r="F292" s="1"/>
      <c r="G292" s="1"/>
      <c r="H292" s="4"/>
      <c r="I292" s="2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4"/>
      <c r="D293" s="1"/>
      <c r="E293" s="1"/>
      <c r="F293" s="1"/>
      <c r="G293" s="1"/>
      <c r="H293" s="4"/>
      <c r="I293" s="2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4"/>
      <c r="D294" s="1"/>
      <c r="E294" s="1"/>
      <c r="F294" s="1"/>
      <c r="G294" s="1"/>
      <c r="H294" s="4"/>
      <c r="I294" s="2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4"/>
      <c r="D295" s="1"/>
      <c r="E295" s="1"/>
      <c r="F295" s="1"/>
      <c r="G295" s="1"/>
      <c r="H295" s="4"/>
      <c r="I295" s="2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4"/>
      <c r="D296" s="1"/>
      <c r="E296" s="1"/>
      <c r="F296" s="1"/>
      <c r="G296" s="1"/>
      <c r="H296" s="4"/>
      <c r="I296" s="2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4"/>
      <c r="D297" s="1"/>
      <c r="E297" s="1"/>
      <c r="F297" s="1"/>
      <c r="G297" s="1"/>
      <c r="H297" s="4"/>
      <c r="I297" s="2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4"/>
      <c r="D298" s="1"/>
      <c r="E298" s="1"/>
      <c r="F298" s="1"/>
      <c r="G298" s="1"/>
      <c r="H298" s="4"/>
      <c r="I298" s="2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4"/>
      <c r="D299" s="1"/>
      <c r="E299" s="1"/>
      <c r="F299" s="1"/>
      <c r="G299" s="1"/>
      <c r="H299" s="4"/>
      <c r="I299" s="2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4"/>
      <c r="D300" s="1"/>
      <c r="E300" s="1"/>
      <c r="F300" s="1"/>
      <c r="G300" s="1"/>
      <c r="H300" s="4"/>
      <c r="I300" s="2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4"/>
      <c r="D301" s="1"/>
      <c r="E301" s="1"/>
      <c r="F301" s="1"/>
      <c r="G301" s="1"/>
      <c r="H301" s="4"/>
      <c r="I301" s="2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4"/>
      <c r="D302" s="1"/>
      <c r="E302" s="1"/>
      <c r="F302" s="1"/>
      <c r="G302" s="1"/>
      <c r="H302" s="4"/>
      <c r="I302" s="2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4"/>
      <c r="D303" s="1"/>
      <c r="E303" s="1"/>
      <c r="F303" s="1"/>
      <c r="G303" s="1"/>
      <c r="H303" s="4"/>
      <c r="I303" s="2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4"/>
      <c r="D304" s="1"/>
      <c r="E304" s="1"/>
      <c r="F304" s="1"/>
      <c r="G304" s="1"/>
      <c r="H304" s="4"/>
      <c r="I304" s="2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4"/>
      <c r="D305" s="1"/>
      <c r="E305" s="1"/>
      <c r="F305" s="1"/>
      <c r="G305" s="1"/>
      <c r="H305" s="4"/>
      <c r="I305" s="2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4"/>
      <c r="D306" s="1"/>
      <c r="E306" s="1"/>
      <c r="F306" s="1"/>
      <c r="G306" s="1"/>
      <c r="H306" s="4"/>
      <c r="I306" s="2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4"/>
      <c r="D307" s="1"/>
      <c r="E307" s="1"/>
      <c r="F307" s="1"/>
      <c r="G307" s="1"/>
      <c r="H307" s="4"/>
      <c r="I307" s="2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4"/>
      <c r="D308" s="1"/>
      <c r="E308" s="1"/>
      <c r="F308" s="1"/>
      <c r="G308" s="1"/>
      <c r="H308" s="4"/>
      <c r="I308" s="2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4"/>
      <c r="D309" s="1"/>
      <c r="E309" s="1"/>
      <c r="F309" s="1"/>
      <c r="G309" s="1"/>
      <c r="H309" s="4"/>
      <c r="I309" s="2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4"/>
      <c r="D310" s="1"/>
      <c r="E310" s="1"/>
      <c r="F310" s="1"/>
      <c r="G310" s="1"/>
      <c r="H310" s="4"/>
      <c r="I310" s="2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4"/>
      <c r="D311" s="1"/>
      <c r="E311" s="1"/>
      <c r="F311" s="1"/>
      <c r="G311" s="1"/>
      <c r="H311" s="4"/>
      <c r="I311" s="2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4"/>
      <c r="D312" s="1"/>
      <c r="E312" s="1"/>
      <c r="F312" s="1"/>
      <c r="G312" s="1"/>
      <c r="H312" s="4"/>
      <c r="I312" s="2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4"/>
      <c r="D313" s="1"/>
      <c r="E313" s="1"/>
      <c r="F313" s="1"/>
      <c r="G313" s="1"/>
      <c r="H313" s="4"/>
      <c r="I313" s="2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4"/>
      <c r="D314" s="1"/>
      <c r="E314" s="1"/>
      <c r="F314" s="1"/>
      <c r="G314" s="1"/>
      <c r="H314" s="4"/>
      <c r="I314" s="2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4"/>
      <c r="D315" s="1"/>
      <c r="E315" s="1"/>
      <c r="F315" s="1"/>
      <c r="G315" s="1"/>
      <c r="H315" s="4"/>
      <c r="I315" s="2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4"/>
      <c r="D316" s="1"/>
      <c r="E316" s="1"/>
      <c r="F316" s="1"/>
      <c r="G316" s="1"/>
      <c r="H316" s="4"/>
      <c r="I316" s="2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4"/>
      <c r="D317" s="1"/>
      <c r="E317" s="1"/>
      <c r="F317" s="1"/>
      <c r="G317" s="1"/>
      <c r="H317" s="4"/>
      <c r="I317" s="2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4"/>
      <c r="D318" s="1"/>
      <c r="E318" s="1"/>
      <c r="F318" s="1"/>
      <c r="G318" s="1"/>
      <c r="H318" s="4"/>
      <c r="I318" s="2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4"/>
      <c r="D319" s="1"/>
      <c r="E319" s="1"/>
      <c r="F319" s="1"/>
      <c r="G319" s="1"/>
      <c r="H319" s="4"/>
      <c r="I319" s="2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4"/>
      <c r="D320" s="1"/>
      <c r="E320" s="1"/>
      <c r="F320" s="1"/>
      <c r="G320" s="1"/>
      <c r="H320" s="4"/>
      <c r="I320" s="2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4"/>
      <c r="D321" s="1"/>
      <c r="E321" s="1"/>
      <c r="F321" s="1"/>
      <c r="G321" s="1"/>
      <c r="H321" s="4"/>
      <c r="I321" s="2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4"/>
      <c r="D322" s="1"/>
      <c r="E322" s="1"/>
      <c r="F322" s="1"/>
      <c r="G322" s="1"/>
      <c r="H322" s="4"/>
      <c r="I322" s="2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4"/>
      <c r="D323" s="1"/>
      <c r="E323" s="1"/>
      <c r="F323" s="1"/>
      <c r="G323" s="1"/>
      <c r="H323" s="4"/>
      <c r="I323" s="2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4"/>
      <c r="D324" s="1"/>
      <c r="E324" s="1"/>
      <c r="F324" s="1"/>
      <c r="G324" s="1"/>
      <c r="H324" s="4"/>
      <c r="I324" s="2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4"/>
      <c r="D325" s="1"/>
      <c r="E325" s="1"/>
      <c r="F325" s="1"/>
      <c r="G325" s="1"/>
      <c r="H325" s="4"/>
      <c r="I325" s="2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4"/>
      <c r="D326" s="1"/>
      <c r="E326" s="1"/>
      <c r="F326" s="1"/>
      <c r="G326" s="1"/>
      <c r="H326" s="4"/>
      <c r="I326" s="2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4"/>
      <c r="D327" s="1"/>
      <c r="E327" s="1"/>
      <c r="F327" s="1"/>
      <c r="G327" s="1"/>
      <c r="H327" s="4"/>
      <c r="I327" s="2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4"/>
      <c r="D328" s="1"/>
      <c r="E328" s="1"/>
      <c r="F328" s="1"/>
      <c r="G328" s="1"/>
      <c r="H328" s="4"/>
      <c r="I328" s="2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4"/>
      <c r="D329" s="1"/>
      <c r="E329" s="1"/>
      <c r="F329" s="1"/>
      <c r="G329" s="1"/>
      <c r="H329" s="4"/>
      <c r="I329" s="2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4"/>
      <c r="D330" s="1"/>
      <c r="E330" s="1"/>
      <c r="F330" s="1"/>
      <c r="G330" s="1"/>
      <c r="H330" s="4"/>
      <c r="I330" s="2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4"/>
      <c r="D331" s="1"/>
      <c r="E331" s="1"/>
      <c r="F331" s="1"/>
      <c r="G331" s="1"/>
      <c r="H331" s="4"/>
      <c r="I331" s="2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4"/>
      <c r="D332" s="1"/>
      <c r="E332" s="1"/>
      <c r="F332" s="1"/>
      <c r="G332" s="1"/>
      <c r="H332" s="4"/>
      <c r="I332" s="2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4"/>
      <c r="D333" s="1"/>
      <c r="E333" s="1"/>
      <c r="F333" s="1"/>
      <c r="G333" s="1"/>
      <c r="H333" s="4"/>
      <c r="I333" s="2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4"/>
      <c r="D334" s="1"/>
      <c r="E334" s="1"/>
      <c r="F334" s="1"/>
      <c r="G334" s="1"/>
      <c r="H334" s="4"/>
      <c r="I334" s="2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4"/>
      <c r="D335" s="1"/>
      <c r="E335" s="1"/>
      <c r="F335" s="1"/>
      <c r="G335" s="1"/>
      <c r="H335" s="4"/>
      <c r="I335" s="2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4"/>
      <c r="D336" s="1"/>
      <c r="E336" s="1"/>
      <c r="F336" s="1"/>
      <c r="G336" s="1"/>
      <c r="H336" s="4"/>
      <c r="I336" s="2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4"/>
      <c r="D337" s="1"/>
      <c r="E337" s="1"/>
      <c r="F337" s="1"/>
      <c r="G337" s="1"/>
      <c r="H337" s="4"/>
      <c r="I337" s="2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4"/>
      <c r="D338" s="1"/>
      <c r="E338" s="1"/>
      <c r="F338" s="1"/>
      <c r="G338" s="1"/>
      <c r="H338" s="4"/>
      <c r="I338" s="2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4"/>
      <c r="D339" s="1"/>
      <c r="E339" s="1"/>
      <c r="F339" s="1"/>
      <c r="G339" s="1"/>
      <c r="H339" s="4"/>
      <c r="I339" s="2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4"/>
      <c r="D340" s="1"/>
      <c r="E340" s="1"/>
      <c r="F340" s="1"/>
      <c r="G340" s="1"/>
      <c r="H340" s="4"/>
      <c r="I340" s="2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4"/>
      <c r="D341" s="1"/>
      <c r="E341" s="1"/>
      <c r="F341" s="1"/>
      <c r="G341" s="1"/>
      <c r="H341" s="4"/>
      <c r="I341" s="2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4"/>
      <c r="D342" s="1"/>
      <c r="E342" s="1"/>
      <c r="F342" s="1"/>
      <c r="G342" s="1"/>
      <c r="H342" s="4"/>
      <c r="I342" s="2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4"/>
      <c r="D343" s="1"/>
      <c r="E343" s="1"/>
      <c r="F343" s="1"/>
      <c r="G343" s="1"/>
      <c r="H343" s="4"/>
      <c r="I343" s="2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4"/>
      <c r="D344" s="1"/>
      <c r="E344" s="1"/>
      <c r="F344" s="1"/>
      <c r="G344" s="1"/>
      <c r="H344" s="4"/>
      <c r="I344" s="2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4"/>
      <c r="D345" s="1"/>
      <c r="E345" s="1"/>
      <c r="F345" s="1"/>
      <c r="G345" s="1"/>
      <c r="H345" s="4"/>
      <c r="I345" s="2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4"/>
      <c r="D346" s="1"/>
      <c r="E346" s="1"/>
      <c r="F346" s="1"/>
      <c r="G346" s="1"/>
      <c r="H346" s="4"/>
      <c r="I346" s="2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4"/>
      <c r="D347" s="1"/>
      <c r="E347" s="1"/>
      <c r="F347" s="1"/>
      <c r="G347" s="1"/>
      <c r="H347" s="4"/>
      <c r="I347" s="2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4"/>
      <c r="D348" s="1"/>
      <c r="E348" s="1"/>
      <c r="F348" s="1"/>
      <c r="G348" s="1"/>
      <c r="H348" s="4"/>
      <c r="I348" s="2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4"/>
      <c r="D349" s="1"/>
      <c r="E349" s="1"/>
      <c r="F349" s="1"/>
      <c r="G349" s="1"/>
      <c r="H349" s="4"/>
      <c r="I349" s="2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4"/>
      <c r="D350" s="1"/>
      <c r="E350" s="1"/>
      <c r="F350" s="1"/>
      <c r="G350" s="1"/>
      <c r="H350" s="4"/>
      <c r="I350" s="2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4"/>
      <c r="D351" s="1"/>
      <c r="E351" s="1"/>
      <c r="F351" s="1"/>
      <c r="G351" s="1"/>
      <c r="H351" s="4"/>
      <c r="I351" s="2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4"/>
      <c r="D352" s="1"/>
      <c r="E352" s="1"/>
      <c r="F352" s="1"/>
      <c r="G352" s="1"/>
      <c r="H352" s="4"/>
      <c r="I352" s="2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4"/>
      <c r="D353" s="1"/>
      <c r="E353" s="1"/>
      <c r="F353" s="1"/>
      <c r="G353" s="1"/>
      <c r="H353" s="4"/>
      <c r="I353" s="2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4"/>
      <c r="D354" s="1"/>
      <c r="E354" s="1"/>
      <c r="F354" s="1"/>
      <c r="G354" s="1"/>
      <c r="H354" s="4"/>
      <c r="I354" s="2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4"/>
      <c r="D355" s="1"/>
      <c r="E355" s="1"/>
      <c r="F355" s="1"/>
      <c r="G355" s="1"/>
      <c r="H355" s="4"/>
      <c r="I355" s="2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4"/>
      <c r="D356" s="1"/>
      <c r="E356" s="1"/>
      <c r="F356" s="1"/>
      <c r="G356" s="1"/>
      <c r="H356" s="4"/>
      <c r="I356" s="2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4"/>
      <c r="D357" s="1"/>
      <c r="E357" s="1"/>
      <c r="F357" s="1"/>
      <c r="G357" s="1"/>
      <c r="H357" s="4"/>
      <c r="I357" s="2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4"/>
      <c r="D358" s="1"/>
      <c r="E358" s="1"/>
      <c r="F358" s="1"/>
      <c r="G358" s="1"/>
      <c r="H358" s="4"/>
      <c r="I358" s="2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4"/>
      <c r="D359" s="1"/>
      <c r="E359" s="1"/>
      <c r="F359" s="1"/>
      <c r="G359" s="1"/>
      <c r="H359" s="4"/>
      <c r="I359" s="2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4"/>
      <c r="D360" s="1"/>
      <c r="E360" s="1"/>
      <c r="F360" s="1"/>
      <c r="G360" s="1"/>
      <c r="H360" s="4"/>
      <c r="I360" s="2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4"/>
      <c r="D361" s="1"/>
      <c r="E361" s="1"/>
      <c r="F361" s="1"/>
      <c r="G361" s="1"/>
      <c r="H361" s="4"/>
      <c r="I361" s="2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4"/>
      <c r="D362" s="1"/>
      <c r="E362" s="1"/>
      <c r="F362" s="1"/>
      <c r="G362" s="1"/>
      <c r="H362" s="4"/>
      <c r="I362" s="2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4"/>
      <c r="D363" s="1"/>
      <c r="E363" s="1"/>
      <c r="F363" s="1"/>
      <c r="G363" s="1"/>
      <c r="H363" s="4"/>
      <c r="I363" s="2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4"/>
      <c r="D364" s="1"/>
      <c r="E364" s="1"/>
      <c r="F364" s="1"/>
      <c r="G364" s="1"/>
      <c r="H364" s="4"/>
      <c r="I364" s="2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4"/>
      <c r="D365" s="1"/>
      <c r="E365" s="1"/>
      <c r="F365" s="1"/>
      <c r="G365" s="1"/>
      <c r="H365" s="4"/>
      <c r="I365" s="2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4"/>
      <c r="D366" s="1"/>
      <c r="E366" s="1"/>
      <c r="F366" s="1"/>
      <c r="G366" s="1"/>
      <c r="H366" s="4"/>
      <c r="I366" s="2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4"/>
      <c r="D367" s="1"/>
      <c r="E367" s="1"/>
      <c r="F367" s="1"/>
      <c r="G367" s="1"/>
      <c r="H367" s="4"/>
      <c r="I367" s="2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4"/>
      <c r="D368" s="1"/>
      <c r="E368" s="1"/>
      <c r="F368" s="1"/>
      <c r="G368" s="1"/>
      <c r="H368" s="4"/>
      <c r="I368" s="2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4"/>
      <c r="D369" s="1"/>
      <c r="E369" s="1"/>
      <c r="F369" s="1"/>
      <c r="G369" s="1"/>
      <c r="H369" s="4"/>
      <c r="I369" s="2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4"/>
      <c r="D370" s="1"/>
      <c r="E370" s="1"/>
      <c r="F370" s="1"/>
      <c r="G370" s="1"/>
      <c r="H370" s="4"/>
      <c r="I370" s="2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4"/>
      <c r="D371" s="1"/>
      <c r="E371" s="1"/>
      <c r="F371" s="1"/>
      <c r="G371" s="1"/>
      <c r="H371" s="4"/>
      <c r="I371" s="2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4"/>
      <c r="D372" s="1"/>
      <c r="E372" s="1"/>
      <c r="F372" s="1"/>
      <c r="G372" s="1"/>
      <c r="H372" s="4"/>
      <c r="I372" s="2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4"/>
      <c r="D373" s="1"/>
      <c r="E373" s="1"/>
      <c r="F373" s="1"/>
      <c r="G373" s="1"/>
      <c r="H373" s="4"/>
      <c r="I373" s="2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4"/>
      <c r="D374" s="1"/>
      <c r="E374" s="1"/>
      <c r="F374" s="1"/>
      <c r="G374" s="1"/>
      <c r="H374" s="4"/>
      <c r="I374" s="2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4"/>
      <c r="D375" s="1"/>
      <c r="E375" s="1"/>
      <c r="F375" s="1"/>
      <c r="G375" s="1"/>
      <c r="H375" s="4"/>
      <c r="I375" s="2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4"/>
      <c r="D376" s="1"/>
      <c r="E376" s="1"/>
      <c r="F376" s="1"/>
      <c r="G376" s="1"/>
      <c r="H376" s="4"/>
      <c r="I376" s="2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4"/>
      <c r="D377" s="1"/>
      <c r="E377" s="1"/>
      <c r="F377" s="1"/>
      <c r="G377" s="1"/>
      <c r="H377" s="4"/>
      <c r="I377" s="2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4"/>
      <c r="D378" s="1"/>
      <c r="E378" s="1"/>
      <c r="F378" s="1"/>
      <c r="G378" s="1"/>
      <c r="H378" s="4"/>
      <c r="I378" s="2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4"/>
      <c r="D379" s="1"/>
      <c r="E379" s="1"/>
      <c r="F379" s="1"/>
      <c r="G379" s="1"/>
      <c r="H379" s="4"/>
      <c r="I379" s="2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4"/>
      <c r="D380" s="1"/>
      <c r="E380" s="1"/>
      <c r="F380" s="1"/>
      <c r="G380" s="1"/>
      <c r="H380" s="4"/>
      <c r="I380" s="2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L5:L178">
      <formula1>"C,T,O"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88"/>
    <col customWidth="1" min="2" max="2" width="8.63"/>
    <col customWidth="1" min="4" max="4" width="38.13"/>
  </cols>
  <sheetData>
    <row r="1" ht="15.75" customHeight="1">
      <c r="A1" s="4"/>
      <c r="B1" s="1"/>
      <c r="C1" s="1"/>
      <c r="D1" s="1"/>
      <c r="E1" s="25"/>
      <c r="F1" s="25"/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68" t="s">
        <v>1265</v>
      </c>
      <c r="B2" s="7"/>
      <c r="C2" s="7"/>
      <c r="D2" s="1"/>
      <c r="E2" s="25"/>
      <c r="F2" s="25"/>
      <c r="G2" s="2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4"/>
      <c r="B3" s="1"/>
      <c r="C3" s="1"/>
      <c r="D3" s="1"/>
      <c r="E3" s="25"/>
      <c r="F3" s="25"/>
      <c r="G3" s="2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4"/>
      <c r="B4" s="1"/>
      <c r="C4" s="1"/>
      <c r="D4" s="1"/>
      <c r="E4" s="25"/>
      <c r="F4" s="25"/>
      <c r="G4" s="2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38" t="s">
        <v>1266</v>
      </c>
      <c r="B5" s="38" t="s">
        <v>1</v>
      </c>
      <c r="C5" s="38" t="s">
        <v>1267</v>
      </c>
      <c r="D5" s="38" t="s">
        <v>1268</v>
      </c>
      <c r="E5" s="39" t="s">
        <v>1269</v>
      </c>
      <c r="F5" s="39" t="s">
        <v>1270</v>
      </c>
      <c r="G5" s="39" t="s">
        <v>1271</v>
      </c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4">
        <v>1.0</v>
      </c>
      <c r="B6" s="14" t="s">
        <v>1227</v>
      </c>
      <c r="C6" s="1"/>
      <c r="D6" s="1" t="s">
        <v>1272</v>
      </c>
      <c r="E6" s="25"/>
      <c r="F6" s="25"/>
      <c r="G6" s="25">
        <v>2840100.0</v>
      </c>
      <c r="H6" s="1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4">
        <v>2.0</v>
      </c>
      <c r="B7" s="14" t="s">
        <v>1227</v>
      </c>
      <c r="C7" s="1"/>
      <c r="D7" s="1" t="s">
        <v>1273</v>
      </c>
      <c r="E7" s="25">
        <v>713000.0</v>
      </c>
      <c r="F7" s="25"/>
      <c r="G7" s="25">
        <f>G6+E7-F7</f>
        <v>3553100</v>
      </c>
      <c r="H7" s="1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4"/>
      <c r="B8" s="14"/>
      <c r="C8" s="4"/>
      <c r="D8" s="1"/>
      <c r="E8" s="25"/>
      <c r="F8" s="25"/>
      <c r="G8" s="25"/>
      <c r="H8" s="1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4"/>
      <c r="B9" s="14"/>
      <c r="C9" s="4"/>
      <c r="D9" s="1"/>
      <c r="E9" s="25"/>
      <c r="F9" s="25"/>
      <c r="G9" s="25"/>
      <c r="H9" s="1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4"/>
      <c r="B10" s="14"/>
      <c r="C10" s="4"/>
      <c r="D10" s="1"/>
      <c r="E10" s="25"/>
      <c r="F10" s="25"/>
      <c r="G10" s="25"/>
      <c r="H10" s="1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4"/>
      <c r="B11" s="14"/>
      <c r="C11" s="4"/>
      <c r="D11" s="1"/>
      <c r="E11" s="25"/>
      <c r="F11" s="25"/>
      <c r="G11" s="25"/>
      <c r="H11" s="1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4"/>
      <c r="B12" s="14"/>
      <c r="C12" s="4"/>
      <c r="D12" s="1"/>
      <c r="E12" s="25"/>
      <c r="F12" s="25"/>
      <c r="G12" s="25"/>
      <c r="H12" s="1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4"/>
      <c r="B13" s="14"/>
      <c r="C13" s="4"/>
      <c r="D13" s="1"/>
      <c r="E13" s="25"/>
      <c r="F13" s="25"/>
      <c r="G13" s="25"/>
      <c r="H13" s="1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4"/>
      <c r="B14" s="14"/>
      <c r="C14" s="4"/>
      <c r="D14" s="1"/>
      <c r="E14" s="25"/>
      <c r="F14" s="25"/>
      <c r="G14" s="25"/>
      <c r="H14" s="1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4"/>
      <c r="B15" s="14"/>
      <c r="C15" s="4"/>
      <c r="D15" s="1"/>
      <c r="E15" s="25"/>
      <c r="F15" s="25"/>
      <c r="G15" s="25"/>
      <c r="H15" s="1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4"/>
      <c r="B16" s="14"/>
      <c r="C16" s="4"/>
      <c r="D16" s="1"/>
      <c r="E16" s="25"/>
      <c r="F16" s="25"/>
      <c r="G16" s="25"/>
      <c r="H16" s="1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4"/>
      <c r="B17" s="14"/>
      <c r="C17" s="4"/>
      <c r="D17" s="1"/>
      <c r="E17" s="25"/>
      <c r="F17" s="25"/>
      <c r="G17" s="25"/>
      <c r="H17" s="1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4"/>
      <c r="B18" s="14"/>
      <c r="C18" s="4"/>
      <c r="D18" s="1"/>
      <c r="E18" s="25"/>
      <c r="F18" s="25"/>
      <c r="G18" s="25"/>
      <c r="H18" s="1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4"/>
      <c r="B19" s="14"/>
      <c r="C19" s="4"/>
      <c r="D19" s="1"/>
      <c r="E19" s="25"/>
      <c r="F19" s="25"/>
      <c r="G19" s="25"/>
      <c r="H19" s="1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4"/>
      <c r="B20" s="14"/>
      <c r="C20" s="4"/>
      <c r="D20" s="1"/>
      <c r="E20" s="25"/>
      <c r="F20" s="25"/>
      <c r="G20" s="25"/>
      <c r="H20" s="1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4"/>
      <c r="B21" s="14"/>
      <c r="C21" s="4"/>
      <c r="D21" s="1"/>
      <c r="E21" s="25"/>
      <c r="F21" s="25"/>
      <c r="G21" s="25"/>
      <c r="H21" s="1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4"/>
      <c r="B22" s="14"/>
      <c r="C22" s="4"/>
      <c r="D22" s="1"/>
      <c r="E22" s="25"/>
      <c r="F22" s="25"/>
      <c r="G22" s="25"/>
      <c r="H22" s="1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4"/>
      <c r="B23" s="14"/>
      <c r="C23" s="4"/>
      <c r="D23" s="1"/>
      <c r="E23" s="25"/>
      <c r="F23" s="25"/>
      <c r="G23" s="25"/>
      <c r="H23" s="1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4"/>
      <c r="B24" s="14"/>
      <c r="C24" s="4"/>
      <c r="D24" s="1"/>
      <c r="E24" s="25"/>
      <c r="F24" s="25"/>
      <c r="G24" s="25"/>
      <c r="H24" s="1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4"/>
      <c r="B25" s="14"/>
      <c r="C25" s="4"/>
      <c r="D25" s="1"/>
      <c r="E25" s="25"/>
      <c r="F25" s="25"/>
      <c r="G25" s="2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4"/>
      <c r="B26" s="14"/>
      <c r="C26" s="1"/>
      <c r="D26" s="1"/>
      <c r="E26" s="25"/>
      <c r="F26" s="25"/>
      <c r="G26" s="2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4"/>
      <c r="B27" s="14"/>
      <c r="C27" s="1"/>
      <c r="D27" s="1"/>
      <c r="E27" s="25"/>
      <c r="F27" s="25"/>
      <c r="G27" s="2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4"/>
      <c r="B28" s="14"/>
      <c r="C28" s="4"/>
      <c r="D28" s="1"/>
      <c r="E28" s="25"/>
      <c r="F28" s="25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4"/>
      <c r="B29" s="14"/>
      <c r="C29" s="1"/>
      <c r="D29" s="1"/>
      <c r="E29" s="25"/>
      <c r="F29" s="25"/>
      <c r="G29" s="2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4"/>
      <c r="B30" s="14"/>
      <c r="C30" s="1"/>
      <c r="D30" s="1"/>
      <c r="E30" s="25"/>
      <c r="F30" s="25"/>
      <c r="G30" s="2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4"/>
      <c r="B31" s="14" t="s">
        <v>1274</v>
      </c>
      <c r="C31" s="1"/>
      <c r="D31" s="1" t="s">
        <v>1275</v>
      </c>
      <c r="E31" s="25"/>
      <c r="F31" s="25"/>
      <c r="G31" s="25">
        <v>3060000.0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4"/>
      <c r="B32" s="14"/>
      <c r="C32" s="1"/>
      <c r="D32" s="1"/>
      <c r="E32" s="25"/>
      <c r="F32" s="25"/>
      <c r="G32" s="2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4"/>
      <c r="B33" s="14"/>
      <c r="C33" s="1"/>
      <c r="D33" s="1"/>
      <c r="E33" s="25"/>
      <c r="F33" s="25"/>
      <c r="G33" s="2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4"/>
      <c r="B34" s="14"/>
      <c r="C34" s="1"/>
      <c r="D34" s="1"/>
      <c r="E34" s="25"/>
      <c r="F34" s="25"/>
      <c r="G34" s="2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4"/>
      <c r="B35" s="14"/>
      <c r="C35" s="1"/>
      <c r="D35" s="1"/>
      <c r="E35" s="25"/>
      <c r="F35" s="25"/>
      <c r="G35" s="2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4"/>
      <c r="B36" s="14"/>
      <c r="C36" s="1"/>
      <c r="D36" s="1"/>
      <c r="E36" s="25"/>
      <c r="F36" s="25"/>
      <c r="G36" s="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4"/>
      <c r="B37" s="14"/>
      <c r="C37" s="1"/>
      <c r="D37" s="1"/>
      <c r="E37" s="25"/>
      <c r="F37" s="25"/>
      <c r="G37" s="2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4"/>
      <c r="B38" s="14"/>
      <c r="C38" s="1"/>
      <c r="D38" s="1"/>
      <c r="E38" s="25"/>
      <c r="F38" s="25"/>
      <c r="G38" s="2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4"/>
      <c r="B39" s="14"/>
      <c r="C39" s="1"/>
      <c r="D39" s="1"/>
      <c r="E39" s="25"/>
      <c r="F39" s="25"/>
      <c r="G39" s="2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4"/>
      <c r="B40" s="14"/>
      <c r="C40" s="1"/>
      <c r="D40" s="1"/>
      <c r="E40" s="25"/>
      <c r="F40" s="25"/>
      <c r="G40" s="2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4"/>
      <c r="B41" s="14"/>
      <c r="C41" s="4"/>
      <c r="D41" s="1"/>
      <c r="E41" s="25"/>
      <c r="F41" s="25"/>
      <c r="G41" s="2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4"/>
      <c r="B42" s="14"/>
      <c r="C42" s="1"/>
      <c r="D42" s="1"/>
      <c r="E42" s="25"/>
      <c r="F42" s="25"/>
      <c r="G42" s="2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4"/>
      <c r="B43" s="14"/>
      <c r="C43" s="1"/>
      <c r="D43" s="1"/>
      <c r="E43" s="25"/>
      <c r="F43" s="25"/>
      <c r="G43" s="2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4"/>
      <c r="B44" s="14"/>
      <c r="C44" s="1"/>
      <c r="D44" s="1"/>
      <c r="E44" s="25"/>
      <c r="F44" s="25"/>
      <c r="G44" s="2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4"/>
      <c r="B45" s="14"/>
      <c r="C45" s="1"/>
      <c r="D45" s="1"/>
      <c r="E45" s="25"/>
      <c r="F45" s="25"/>
      <c r="G45" s="2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4">
        <v>32.0</v>
      </c>
      <c r="B46" s="1"/>
      <c r="C46" s="1"/>
      <c r="D46" s="1"/>
      <c r="E46" s="25"/>
      <c r="F46" s="25"/>
      <c r="G46" s="2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4">
        <v>33.0</v>
      </c>
      <c r="B47" s="1"/>
      <c r="C47" s="1"/>
      <c r="D47" s="1"/>
      <c r="E47" s="25"/>
      <c r="F47" s="25"/>
      <c r="G47" s="2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4">
        <v>34.0</v>
      </c>
      <c r="B48" s="1"/>
      <c r="C48" s="1"/>
      <c r="D48" s="1"/>
      <c r="E48" s="25"/>
      <c r="F48" s="25"/>
      <c r="G48" s="2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4">
        <v>35.0</v>
      </c>
      <c r="B49" s="1"/>
      <c r="C49" s="1"/>
      <c r="D49" s="1"/>
      <c r="E49" s="25"/>
      <c r="F49" s="25"/>
      <c r="G49" s="2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4">
        <v>36.0</v>
      </c>
      <c r="B50" s="1"/>
      <c r="C50" s="1"/>
      <c r="D50" s="1"/>
      <c r="E50" s="25"/>
      <c r="F50" s="25"/>
      <c r="G50" s="2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4">
        <v>37.0</v>
      </c>
      <c r="B51" s="1"/>
      <c r="C51" s="1"/>
      <c r="D51" s="1"/>
      <c r="E51" s="25"/>
      <c r="F51" s="25"/>
      <c r="G51" s="2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4">
        <v>38.0</v>
      </c>
      <c r="B52" s="1"/>
      <c r="C52" s="1"/>
      <c r="D52" s="1"/>
      <c r="E52" s="25"/>
      <c r="F52" s="25"/>
      <c r="G52" s="2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4">
        <v>39.0</v>
      </c>
      <c r="B53" s="1"/>
      <c r="C53" s="1"/>
      <c r="D53" s="1"/>
      <c r="E53" s="25"/>
      <c r="F53" s="25"/>
      <c r="G53" s="2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4">
        <v>40.0</v>
      </c>
      <c r="B54" s="1"/>
      <c r="C54" s="1"/>
      <c r="D54" s="1"/>
      <c r="E54" s="25"/>
      <c r="F54" s="25"/>
      <c r="G54" s="2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4">
        <v>41.0</v>
      </c>
      <c r="B55" s="1"/>
      <c r="C55" s="1"/>
      <c r="D55" s="1"/>
      <c r="E55" s="25"/>
      <c r="F55" s="25"/>
      <c r="G55" s="2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4">
        <v>42.0</v>
      </c>
      <c r="B56" s="1"/>
      <c r="C56" s="1"/>
      <c r="D56" s="1"/>
      <c r="E56" s="25"/>
      <c r="F56" s="25"/>
      <c r="G56" s="2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4">
        <v>43.0</v>
      </c>
      <c r="B57" s="1"/>
      <c r="C57" s="1"/>
      <c r="D57" s="1"/>
      <c r="E57" s="25"/>
      <c r="F57" s="25"/>
      <c r="G57" s="2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4">
        <v>44.0</v>
      </c>
      <c r="B58" s="1"/>
      <c r="C58" s="1"/>
      <c r="D58" s="1"/>
      <c r="E58" s="25"/>
      <c r="F58" s="25"/>
      <c r="G58" s="2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4">
        <v>45.0</v>
      </c>
      <c r="B59" s="1"/>
      <c r="C59" s="1"/>
      <c r="D59" s="1"/>
      <c r="E59" s="25"/>
      <c r="F59" s="25"/>
      <c r="G59" s="2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4">
        <v>46.0</v>
      </c>
      <c r="B60" s="1"/>
      <c r="C60" s="1"/>
      <c r="D60" s="1"/>
      <c r="E60" s="25"/>
      <c r="F60" s="25"/>
      <c r="G60" s="2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4">
        <v>47.0</v>
      </c>
      <c r="B61" s="1"/>
      <c r="C61" s="1"/>
      <c r="D61" s="1"/>
      <c r="E61" s="25"/>
      <c r="F61" s="25"/>
      <c r="G61" s="2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4">
        <v>48.0</v>
      </c>
      <c r="B62" s="1"/>
      <c r="C62" s="1"/>
      <c r="D62" s="1"/>
      <c r="E62" s="25"/>
      <c r="F62" s="25"/>
      <c r="G62" s="2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4">
        <v>49.0</v>
      </c>
      <c r="B63" s="1"/>
      <c r="C63" s="1"/>
      <c r="D63" s="1"/>
      <c r="E63" s="25"/>
      <c r="F63" s="25"/>
      <c r="G63" s="2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4">
        <v>50.0</v>
      </c>
      <c r="B64" s="1"/>
      <c r="C64" s="1"/>
      <c r="D64" s="1"/>
      <c r="E64" s="25"/>
      <c r="F64" s="25"/>
      <c r="G64" s="2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4">
        <v>51.0</v>
      </c>
      <c r="B65" s="1"/>
      <c r="C65" s="1"/>
      <c r="D65" s="1"/>
      <c r="E65" s="25"/>
      <c r="F65" s="25"/>
      <c r="G65" s="2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4">
        <v>52.0</v>
      </c>
      <c r="B66" s="1"/>
      <c r="C66" s="1"/>
      <c r="D66" s="1"/>
      <c r="E66" s="25"/>
      <c r="F66" s="25"/>
      <c r="G66" s="2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4">
        <v>53.0</v>
      </c>
      <c r="B67" s="1"/>
      <c r="C67" s="1"/>
      <c r="D67" s="1"/>
      <c r="E67" s="25"/>
      <c r="F67" s="25"/>
      <c r="G67" s="2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4">
        <v>54.0</v>
      </c>
      <c r="B68" s="1"/>
      <c r="C68" s="1"/>
      <c r="D68" s="1"/>
      <c r="E68" s="25"/>
      <c r="F68" s="25"/>
      <c r="G68" s="2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4">
        <v>55.0</v>
      </c>
      <c r="B69" s="1"/>
      <c r="C69" s="1"/>
      <c r="D69" s="1"/>
      <c r="E69" s="25"/>
      <c r="F69" s="25"/>
      <c r="G69" s="2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4">
        <v>56.0</v>
      </c>
      <c r="B70" s="1"/>
      <c r="C70" s="1"/>
      <c r="D70" s="1"/>
      <c r="E70" s="25"/>
      <c r="F70" s="25"/>
      <c r="G70" s="2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4">
        <v>57.0</v>
      </c>
      <c r="B71" s="1"/>
      <c r="C71" s="1"/>
      <c r="D71" s="1"/>
      <c r="E71" s="25"/>
      <c r="F71" s="25"/>
      <c r="G71" s="2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4">
        <v>58.0</v>
      </c>
      <c r="B72" s="1"/>
      <c r="C72" s="1"/>
      <c r="D72" s="1"/>
      <c r="E72" s="25"/>
      <c r="F72" s="25"/>
      <c r="G72" s="2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4">
        <v>59.0</v>
      </c>
      <c r="B73" s="1"/>
      <c r="C73" s="1"/>
      <c r="D73" s="1"/>
      <c r="E73" s="25"/>
      <c r="F73" s="25"/>
      <c r="G73" s="2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4">
        <v>60.0</v>
      </c>
      <c r="B74" s="1"/>
      <c r="C74" s="1"/>
      <c r="D74" s="1"/>
      <c r="E74" s="25"/>
      <c r="F74" s="25"/>
      <c r="G74" s="2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4">
        <v>61.0</v>
      </c>
      <c r="B75" s="1"/>
      <c r="C75" s="1"/>
      <c r="D75" s="1"/>
      <c r="E75" s="25"/>
      <c r="F75" s="25"/>
      <c r="G75" s="2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4">
        <v>62.0</v>
      </c>
      <c r="B76" s="1"/>
      <c r="C76" s="1"/>
      <c r="D76" s="1"/>
      <c r="E76" s="25"/>
      <c r="F76" s="25"/>
      <c r="G76" s="2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4">
        <v>63.0</v>
      </c>
      <c r="B77" s="1"/>
      <c r="C77" s="1"/>
      <c r="D77" s="1"/>
      <c r="E77" s="25"/>
      <c r="F77" s="25"/>
      <c r="G77" s="2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4">
        <v>64.0</v>
      </c>
      <c r="B78" s="1"/>
      <c r="C78" s="1"/>
      <c r="D78" s="1"/>
      <c r="E78" s="25"/>
      <c r="F78" s="25"/>
      <c r="G78" s="2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4">
        <v>65.0</v>
      </c>
      <c r="B79" s="1"/>
      <c r="C79" s="1"/>
      <c r="D79" s="1"/>
      <c r="E79" s="25"/>
      <c r="F79" s="25"/>
      <c r="G79" s="2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4">
        <v>66.0</v>
      </c>
      <c r="B80" s="1"/>
      <c r="C80" s="1"/>
      <c r="D80" s="1"/>
      <c r="E80" s="25"/>
      <c r="F80" s="25"/>
      <c r="G80" s="2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4">
        <v>67.0</v>
      </c>
      <c r="B81" s="1"/>
      <c r="C81" s="1"/>
      <c r="D81" s="1"/>
      <c r="E81" s="25"/>
      <c r="F81" s="25"/>
      <c r="G81" s="2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4">
        <v>68.0</v>
      </c>
      <c r="B82" s="1"/>
      <c r="C82" s="1"/>
      <c r="D82" s="1"/>
      <c r="E82" s="25"/>
      <c r="F82" s="25"/>
      <c r="G82" s="2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4">
        <v>69.0</v>
      </c>
      <c r="B83" s="1"/>
      <c r="C83" s="1"/>
      <c r="D83" s="1"/>
      <c r="E83" s="25"/>
      <c r="F83" s="25"/>
      <c r="G83" s="2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4">
        <v>70.0</v>
      </c>
      <c r="B84" s="1"/>
      <c r="C84" s="1"/>
      <c r="D84" s="1"/>
      <c r="E84" s="25"/>
      <c r="F84" s="25"/>
      <c r="G84" s="2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4">
        <v>71.0</v>
      </c>
      <c r="B85" s="1"/>
      <c r="C85" s="1"/>
      <c r="D85" s="1"/>
      <c r="E85" s="25"/>
      <c r="F85" s="25"/>
      <c r="G85" s="2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4">
        <v>72.0</v>
      </c>
      <c r="B86" s="1"/>
      <c r="C86" s="1"/>
      <c r="D86" s="1"/>
      <c r="E86" s="25"/>
      <c r="F86" s="25"/>
      <c r="G86" s="2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4">
        <v>73.0</v>
      </c>
      <c r="B87" s="1"/>
      <c r="C87" s="1"/>
      <c r="D87" s="1"/>
      <c r="E87" s="25"/>
      <c r="F87" s="25"/>
      <c r="G87" s="2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4">
        <v>74.0</v>
      </c>
      <c r="B88" s="1"/>
      <c r="C88" s="1"/>
      <c r="D88" s="1"/>
      <c r="E88" s="25"/>
      <c r="F88" s="25"/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4">
        <v>75.0</v>
      </c>
      <c r="B89" s="1"/>
      <c r="C89" s="1"/>
      <c r="D89" s="1"/>
      <c r="E89" s="25"/>
      <c r="F89" s="25"/>
      <c r="G89" s="2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4">
        <v>76.0</v>
      </c>
      <c r="B90" s="1"/>
      <c r="C90" s="1"/>
      <c r="D90" s="1"/>
      <c r="E90" s="25"/>
      <c r="F90" s="25"/>
      <c r="G90" s="2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4">
        <v>77.0</v>
      </c>
      <c r="B91" s="1"/>
      <c r="C91" s="1"/>
      <c r="D91" s="1"/>
      <c r="E91" s="25"/>
      <c r="F91" s="25"/>
      <c r="G91" s="2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4">
        <v>78.0</v>
      </c>
      <c r="B92" s="1"/>
      <c r="C92" s="1"/>
      <c r="D92" s="1"/>
      <c r="E92" s="25"/>
      <c r="F92" s="25"/>
      <c r="G92" s="2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4">
        <v>79.0</v>
      </c>
      <c r="B93" s="1"/>
      <c r="C93" s="1"/>
      <c r="D93" s="1"/>
      <c r="E93" s="25"/>
      <c r="F93" s="25"/>
      <c r="G93" s="2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4">
        <v>80.0</v>
      </c>
      <c r="B94" s="1"/>
      <c r="C94" s="1"/>
      <c r="D94" s="1"/>
      <c r="E94" s="25"/>
      <c r="F94" s="25"/>
      <c r="G94" s="2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4">
        <v>81.0</v>
      </c>
      <c r="B95" s="1"/>
      <c r="C95" s="1"/>
      <c r="D95" s="1"/>
      <c r="E95" s="25"/>
      <c r="F95" s="25"/>
      <c r="G95" s="2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4">
        <v>82.0</v>
      </c>
      <c r="B96" s="1"/>
      <c r="C96" s="1"/>
      <c r="D96" s="1"/>
      <c r="E96" s="25"/>
      <c r="F96" s="25"/>
      <c r="G96" s="2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4">
        <v>83.0</v>
      </c>
      <c r="B97" s="1"/>
      <c r="C97" s="1"/>
      <c r="D97" s="1"/>
      <c r="E97" s="25"/>
      <c r="F97" s="25"/>
      <c r="G97" s="2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4">
        <v>84.0</v>
      </c>
      <c r="B98" s="1"/>
      <c r="C98" s="1"/>
      <c r="D98" s="1"/>
      <c r="E98" s="25"/>
      <c r="F98" s="25"/>
      <c r="G98" s="2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4">
        <v>85.0</v>
      </c>
      <c r="B99" s="1"/>
      <c r="C99" s="1"/>
      <c r="D99" s="1"/>
      <c r="E99" s="25"/>
      <c r="F99" s="25"/>
      <c r="G99" s="2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4">
        <v>86.0</v>
      </c>
      <c r="B100" s="1"/>
      <c r="C100" s="1"/>
      <c r="D100" s="1"/>
      <c r="E100" s="25"/>
      <c r="F100" s="25"/>
      <c r="G100" s="2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4">
        <v>87.0</v>
      </c>
      <c r="B101" s="1"/>
      <c r="C101" s="1"/>
      <c r="D101" s="1"/>
      <c r="E101" s="25"/>
      <c r="F101" s="25"/>
      <c r="G101" s="2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4">
        <v>88.0</v>
      </c>
      <c r="B102" s="1"/>
      <c r="C102" s="1"/>
      <c r="D102" s="1"/>
      <c r="E102" s="25"/>
      <c r="F102" s="25"/>
      <c r="G102" s="2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4">
        <v>89.0</v>
      </c>
      <c r="B103" s="1"/>
      <c r="C103" s="1"/>
      <c r="D103" s="1"/>
      <c r="E103" s="25"/>
      <c r="F103" s="25"/>
      <c r="G103" s="2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4">
        <v>90.0</v>
      </c>
      <c r="B104" s="1"/>
      <c r="C104" s="1"/>
      <c r="D104" s="1"/>
      <c r="E104" s="25"/>
      <c r="F104" s="25"/>
      <c r="G104" s="2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4">
        <v>91.0</v>
      </c>
      <c r="B105" s="1"/>
      <c r="C105" s="1"/>
      <c r="D105" s="1"/>
      <c r="E105" s="25"/>
      <c r="F105" s="25"/>
      <c r="G105" s="2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4">
        <v>92.0</v>
      </c>
      <c r="B106" s="1"/>
      <c r="C106" s="1"/>
      <c r="D106" s="1"/>
      <c r="E106" s="25"/>
      <c r="F106" s="25"/>
      <c r="G106" s="2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4">
        <v>93.0</v>
      </c>
      <c r="B107" s="1"/>
      <c r="C107" s="1"/>
      <c r="D107" s="1"/>
      <c r="E107" s="25"/>
      <c r="F107" s="25"/>
      <c r="G107" s="2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4">
        <v>94.0</v>
      </c>
      <c r="B108" s="1"/>
      <c r="C108" s="1"/>
      <c r="D108" s="1"/>
      <c r="E108" s="25"/>
      <c r="F108" s="25"/>
      <c r="G108" s="2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4">
        <v>95.0</v>
      </c>
      <c r="B109" s="1"/>
      <c r="C109" s="1"/>
      <c r="D109" s="1"/>
      <c r="E109" s="25"/>
      <c r="F109" s="25"/>
      <c r="G109" s="2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4">
        <v>96.0</v>
      </c>
      <c r="B110" s="1"/>
      <c r="C110" s="1"/>
      <c r="D110" s="1"/>
      <c r="E110" s="25"/>
      <c r="F110" s="25"/>
      <c r="G110" s="2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4">
        <v>97.0</v>
      </c>
      <c r="B111" s="1"/>
      <c r="C111" s="1"/>
      <c r="D111" s="1"/>
      <c r="E111" s="25"/>
      <c r="F111" s="25"/>
      <c r="G111" s="2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4">
        <v>98.0</v>
      </c>
      <c r="B112" s="1"/>
      <c r="C112" s="1"/>
      <c r="D112" s="1"/>
      <c r="E112" s="25"/>
      <c r="F112" s="25"/>
      <c r="G112" s="2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4">
        <v>99.0</v>
      </c>
      <c r="B113" s="1"/>
      <c r="C113" s="1"/>
      <c r="D113" s="1"/>
      <c r="E113" s="25"/>
      <c r="F113" s="25"/>
      <c r="G113" s="2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4">
        <v>100.0</v>
      </c>
      <c r="B114" s="1"/>
      <c r="C114" s="1"/>
      <c r="D114" s="1"/>
      <c r="E114" s="25"/>
      <c r="F114" s="25"/>
      <c r="G114" s="2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4">
        <v>101.0</v>
      </c>
      <c r="B115" s="1"/>
      <c r="C115" s="1"/>
      <c r="D115" s="1"/>
      <c r="E115" s="25"/>
      <c r="F115" s="25"/>
      <c r="G115" s="2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4">
        <v>102.0</v>
      </c>
      <c r="B116" s="1"/>
      <c r="C116" s="1"/>
      <c r="D116" s="1"/>
      <c r="E116" s="25"/>
      <c r="F116" s="25"/>
      <c r="G116" s="2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4">
        <v>103.0</v>
      </c>
      <c r="B117" s="1"/>
      <c r="C117" s="1"/>
      <c r="D117" s="1"/>
      <c r="E117" s="25"/>
      <c r="F117" s="25"/>
      <c r="G117" s="2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4">
        <v>104.0</v>
      </c>
      <c r="B118" s="1"/>
      <c r="C118" s="1"/>
      <c r="D118" s="1"/>
      <c r="E118" s="25"/>
      <c r="F118" s="25"/>
      <c r="G118" s="2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4">
        <v>105.0</v>
      </c>
      <c r="B119" s="1"/>
      <c r="C119" s="1"/>
      <c r="D119" s="1"/>
      <c r="E119" s="25"/>
      <c r="F119" s="25"/>
      <c r="G119" s="2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4">
        <v>106.0</v>
      </c>
      <c r="B120" s="1"/>
      <c r="C120" s="1"/>
      <c r="D120" s="1"/>
      <c r="E120" s="25"/>
      <c r="F120" s="25"/>
      <c r="G120" s="2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4">
        <v>107.0</v>
      </c>
      <c r="B121" s="1"/>
      <c r="C121" s="1"/>
      <c r="D121" s="1"/>
      <c r="E121" s="25"/>
      <c r="F121" s="25"/>
      <c r="G121" s="2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4">
        <v>108.0</v>
      </c>
      <c r="B122" s="1"/>
      <c r="C122" s="1"/>
      <c r="D122" s="1"/>
      <c r="E122" s="25"/>
      <c r="F122" s="25"/>
      <c r="G122" s="2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4">
        <v>109.0</v>
      </c>
      <c r="B123" s="1"/>
      <c r="C123" s="1"/>
      <c r="D123" s="1"/>
      <c r="E123" s="25"/>
      <c r="F123" s="25"/>
      <c r="G123" s="2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4">
        <v>110.0</v>
      </c>
      <c r="B124" s="1"/>
      <c r="C124" s="1"/>
      <c r="D124" s="1"/>
      <c r="E124" s="25"/>
      <c r="F124" s="25"/>
      <c r="G124" s="2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4">
        <v>111.0</v>
      </c>
      <c r="B125" s="1"/>
      <c r="C125" s="1"/>
      <c r="D125" s="1"/>
      <c r="E125" s="25"/>
      <c r="F125" s="25"/>
      <c r="G125" s="2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4">
        <v>112.0</v>
      </c>
      <c r="B126" s="1"/>
      <c r="C126" s="1"/>
      <c r="D126" s="1"/>
      <c r="E126" s="25"/>
      <c r="F126" s="25"/>
      <c r="G126" s="2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4">
        <v>113.0</v>
      </c>
      <c r="B127" s="1"/>
      <c r="C127" s="1"/>
      <c r="D127" s="1"/>
      <c r="E127" s="25"/>
      <c r="F127" s="25"/>
      <c r="G127" s="2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4">
        <v>114.0</v>
      </c>
      <c r="B128" s="1"/>
      <c r="C128" s="1"/>
      <c r="D128" s="1"/>
      <c r="E128" s="25"/>
      <c r="F128" s="25"/>
      <c r="G128" s="2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4">
        <v>115.0</v>
      </c>
      <c r="B129" s="1"/>
      <c r="C129" s="1"/>
      <c r="D129" s="1"/>
      <c r="E129" s="25"/>
      <c r="F129" s="25"/>
      <c r="G129" s="2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4">
        <v>116.0</v>
      </c>
      <c r="B130" s="1"/>
      <c r="C130" s="1"/>
      <c r="D130" s="1"/>
      <c r="E130" s="25"/>
      <c r="F130" s="25"/>
      <c r="G130" s="2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4">
        <v>117.0</v>
      </c>
      <c r="B131" s="1"/>
      <c r="C131" s="1"/>
      <c r="D131" s="1"/>
      <c r="E131" s="25"/>
      <c r="F131" s="25"/>
      <c r="G131" s="2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4">
        <v>118.0</v>
      </c>
      <c r="B132" s="1"/>
      <c r="C132" s="1"/>
      <c r="D132" s="1"/>
      <c r="E132" s="25"/>
      <c r="F132" s="25"/>
      <c r="G132" s="2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4">
        <v>119.0</v>
      </c>
      <c r="B133" s="1"/>
      <c r="C133" s="1"/>
      <c r="D133" s="1"/>
      <c r="E133" s="25"/>
      <c r="F133" s="25"/>
      <c r="G133" s="2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4">
        <v>120.0</v>
      </c>
      <c r="B134" s="1"/>
      <c r="C134" s="1"/>
      <c r="D134" s="1"/>
      <c r="E134" s="25"/>
      <c r="F134" s="25"/>
      <c r="G134" s="2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4">
        <v>121.0</v>
      </c>
      <c r="B135" s="1"/>
      <c r="C135" s="1"/>
      <c r="D135" s="1"/>
      <c r="E135" s="25"/>
      <c r="F135" s="25"/>
      <c r="G135" s="2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4">
        <v>122.0</v>
      </c>
      <c r="B136" s="1"/>
      <c r="C136" s="1"/>
      <c r="D136" s="1"/>
      <c r="E136" s="25"/>
      <c r="F136" s="25"/>
      <c r="G136" s="2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4">
        <v>123.0</v>
      </c>
      <c r="B137" s="1"/>
      <c r="C137" s="1"/>
      <c r="D137" s="1"/>
      <c r="E137" s="25"/>
      <c r="F137" s="25"/>
      <c r="G137" s="2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4">
        <v>124.0</v>
      </c>
      <c r="B138" s="1"/>
      <c r="C138" s="1"/>
      <c r="D138" s="1"/>
      <c r="E138" s="25"/>
      <c r="F138" s="25"/>
      <c r="G138" s="2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4">
        <v>125.0</v>
      </c>
      <c r="B139" s="1"/>
      <c r="C139" s="1"/>
      <c r="D139" s="1"/>
      <c r="E139" s="25"/>
      <c r="F139" s="25"/>
      <c r="G139" s="2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4">
        <v>126.0</v>
      </c>
      <c r="B140" s="1"/>
      <c r="C140" s="1"/>
      <c r="D140" s="1"/>
      <c r="E140" s="25"/>
      <c r="F140" s="25"/>
      <c r="G140" s="2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4">
        <v>127.0</v>
      </c>
      <c r="B141" s="1"/>
      <c r="C141" s="1"/>
      <c r="D141" s="1"/>
      <c r="E141" s="25"/>
      <c r="F141" s="25"/>
      <c r="G141" s="2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4">
        <v>128.0</v>
      </c>
      <c r="B142" s="1"/>
      <c r="C142" s="1"/>
      <c r="D142" s="1"/>
      <c r="E142" s="25"/>
      <c r="F142" s="25"/>
      <c r="G142" s="2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4">
        <v>129.0</v>
      </c>
      <c r="B143" s="1"/>
      <c r="C143" s="1"/>
      <c r="D143" s="1"/>
      <c r="E143" s="25"/>
      <c r="F143" s="25"/>
      <c r="G143" s="2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4">
        <v>130.0</v>
      </c>
      <c r="B144" s="1"/>
      <c r="C144" s="1"/>
      <c r="D144" s="1"/>
      <c r="E144" s="25"/>
      <c r="F144" s="25"/>
      <c r="G144" s="2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4">
        <v>131.0</v>
      </c>
      <c r="B145" s="1"/>
      <c r="C145" s="1"/>
      <c r="D145" s="1"/>
      <c r="E145" s="25"/>
      <c r="F145" s="25"/>
      <c r="G145" s="2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4">
        <v>132.0</v>
      </c>
      <c r="B146" s="1"/>
      <c r="C146" s="1"/>
      <c r="D146" s="1"/>
      <c r="E146" s="25"/>
      <c r="F146" s="25"/>
      <c r="G146" s="2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4"/>
      <c r="B147" s="1"/>
      <c r="C147" s="1"/>
      <c r="D147" s="1"/>
      <c r="E147" s="25"/>
      <c r="F147" s="25"/>
      <c r="G147" s="2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4"/>
      <c r="B148" s="1"/>
      <c r="C148" s="1"/>
      <c r="D148" s="1"/>
      <c r="E148" s="25"/>
      <c r="F148" s="25"/>
      <c r="G148" s="2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4"/>
      <c r="B149" s="1"/>
      <c r="C149" s="1"/>
      <c r="D149" s="1"/>
      <c r="E149" s="25"/>
      <c r="F149" s="25"/>
      <c r="G149" s="2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4"/>
      <c r="B150" s="1"/>
      <c r="C150" s="1"/>
      <c r="D150" s="1"/>
      <c r="E150" s="25"/>
      <c r="F150" s="25"/>
      <c r="G150" s="2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4"/>
      <c r="B151" s="1"/>
      <c r="C151" s="1"/>
      <c r="D151" s="1"/>
      <c r="E151" s="25"/>
      <c r="F151" s="25"/>
      <c r="G151" s="2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4"/>
      <c r="B152" s="1"/>
      <c r="C152" s="1"/>
      <c r="D152" s="1"/>
      <c r="E152" s="25"/>
      <c r="F152" s="25"/>
      <c r="G152" s="2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4"/>
      <c r="B153" s="1"/>
      <c r="C153" s="1"/>
      <c r="D153" s="1"/>
      <c r="E153" s="25"/>
      <c r="F153" s="25"/>
      <c r="G153" s="2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4"/>
      <c r="B154" s="1"/>
      <c r="C154" s="1"/>
      <c r="D154" s="1"/>
      <c r="E154" s="25"/>
      <c r="F154" s="25"/>
      <c r="G154" s="2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4"/>
      <c r="B155" s="1"/>
      <c r="C155" s="1"/>
      <c r="D155" s="1"/>
      <c r="E155" s="25"/>
      <c r="F155" s="25"/>
      <c r="G155" s="2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4"/>
      <c r="B156" s="1"/>
      <c r="C156" s="1"/>
      <c r="D156" s="1"/>
      <c r="E156" s="25"/>
      <c r="F156" s="25"/>
      <c r="G156" s="2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4"/>
      <c r="B157" s="1"/>
      <c r="C157" s="1"/>
      <c r="D157" s="1"/>
      <c r="E157" s="25"/>
      <c r="F157" s="25"/>
      <c r="G157" s="2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4"/>
      <c r="B158" s="1"/>
      <c r="C158" s="1"/>
      <c r="D158" s="1"/>
      <c r="E158" s="25"/>
      <c r="F158" s="25"/>
      <c r="G158" s="2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4"/>
      <c r="B159" s="1"/>
      <c r="C159" s="1"/>
      <c r="D159" s="1"/>
      <c r="E159" s="25"/>
      <c r="F159" s="25"/>
      <c r="G159" s="2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4"/>
      <c r="B160" s="1"/>
      <c r="C160" s="1"/>
      <c r="D160" s="1"/>
      <c r="E160" s="25"/>
      <c r="F160" s="25"/>
      <c r="G160" s="2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4"/>
      <c r="B161" s="1"/>
      <c r="C161" s="1"/>
      <c r="D161" s="1"/>
      <c r="E161" s="25"/>
      <c r="F161" s="25"/>
      <c r="G161" s="2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4"/>
      <c r="B162" s="1"/>
      <c r="C162" s="1"/>
      <c r="D162" s="1"/>
      <c r="E162" s="25"/>
      <c r="F162" s="25"/>
      <c r="G162" s="2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4"/>
      <c r="B163" s="1"/>
      <c r="C163" s="1"/>
      <c r="D163" s="1"/>
      <c r="E163" s="25"/>
      <c r="F163" s="25"/>
      <c r="G163" s="2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4"/>
      <c r="B164" s="1"/>
      <c r="C164" s="1"/>
      <c r="D164" s="1"/>
      <c r="E164" s="25"/>
      <c r="F164" s="25"/>
      <c r="G164" s="2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4"/>
      <c r="B165" s="1"/>
      <c r="C165" s="1"/>
      <c r="D165" s="1"/>
      <c r="E165" s="25"/>
      <c r="F165" s="25"/>
      <c r="G165" s="2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4"/>
      <c r="B166" s="1"/>
      <c r="C166" s="1"/>
      <c r="D166" s="1"/>
      <c r="E166" s="25"/>
      <c r="F166" s="25"/>
      <c r="G166" s="2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4"/>
      <c r="B167" s="1"/>
      <c r="C167" s="1"/>
      <c r="D167" s="1"/>
      <c r="E167" s="25"/>
      <c r="F167" s="25"/>
      <c r="G167" s="2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4"/>
      <c r="B168" s="1"/>
      <c r="C168" s="1"/>
      <c r="D168" s="1"/>
      <c r="E168" s="25"/>
      <c r="F168" s="25"/>
      <c r="G168" s="2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4"/>
      <c r="B169" s="1"/>
      <c r="C169" s="1"/>
      <c r="D169" s="1"/>
      <c r="E169" s="25"/>
      <c r="F169" s="25"/>
      <c r="G169" s="2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4"/>
      <c r="B170" s="1"/>
      <c r="C170" s="1"/>
      <c r="D170" s="1"/>
      <c r="E170" s="25"/>
      <c r="F170" s="25"/>
      <c r="G170" s="2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4"/>
      <c r="B171" s="1"/>
      <c r="C171" s="1"/>
      <c r="D171" s="1"/>
      <c r="E171" s="25"/>
      <c r="F171" s="25"/>
      <c r="G171" s="2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4"/>
      <c r="B172" s="1"/>
      <c r="C172" s="1"/>
      <c r="D172" s="1"/>
      <c r="E172" s="25"/>
      <c r="F172" s="25"/>
      <c r="G172" s="2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4"/>
      <c r="B173" s="1"/>
      <c r="C173" s="1"/>
      <c r="D173" s="1"/>
      <c r="E173" s="25"/>
      <c r="F173" s="25"/>
      <c r="G173" s="2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4"/>
      <c r="B174" s="1"/>
      <c r="C174" s="1"/>
      <c r="D174" s="1"/>
      <c r="E174" s="25"/>
      <c r="F174" s="25"/>
      <c r="G174" s="2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4"/>
      <c r="B175" s="1"/>
      <c r="C175" s="1"/>
      <c r="D175" s="1"/>
      <c r="E175" s="25"/>
      <c r="F175" s="25"/>
      <c r="G175" s="2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4"/>
      <c r="B176" s="1"/>
      <c r="C176" s="1"/>
      <c r="D176" s="1"/>
      <c r="E176" s="25"/>
      <c r="F176" s="25"/>
      <c r="G176" s="2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4"/>
      <c r="B177" s="1"/>
      <c r="C177" s="1"/>
      <c r="D177" s="1"/>
      <c r="E177" s="25"/>
      <c r="F177" s="25"/>
      <c r="G177" s="2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4"/>
      <c r="B178" s="1"/>
      <c r="C178" s="1"/>
      <c r="D178" s="1"/>
      <c r="E178" s="25"/>
      <c r="F178" s="25"/>
      <c r="G178" s="2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4"/>
      <c r="B179" s="1"/>
      <c r="C179" s="1"/>
      <c r="D179" s="1"/>
      <c r="E179" s="25"/>
      <c r="F179" s="25"/>
      <c r="G179" s="2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4"/>
      <c r="B180" s="1"/>
      <c r="C180" s="1"/>
      <c r="D180" s="1"/>
      <c r="E180" s="25"/>
      <c r="F180" s="25"/>
      <c r="G180" s="2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4"/>
      <c r="B181" s="1"/>
      <c r="C181" s="1"/>
      <c r="D181" s="1"/>
      <c r="E181" s="25"/>
      <c r="F181" s="25"/>
      <c r="G181" s="2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4"/>
      <c r="B182" s="1"/>
      <c r="C182" s="1"/>
      <c r="D182" s="1"/>
      <c r="E182" s="25"/>
      <c r="F182" s="25"/>
      <c r="G182" s="2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4"/>
      <c r="B183" s="1"/>
      <c r="C183" s="1"/>
      <c r="D183" s="1"/>
      <c r="E183" s="25"/>
      <c r="F183" s="25"/>
      <c r="G183" s="2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4"/>
      <c r="B184" s="1"/>
      <c r="C184" s="1"/>
      <c r="D184" s="1"/>
      <c r="E184" s="25"/>
      <c r="F184" s="25"/>
      <c r="G184" s="2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4"/>
      <c r="B185" s="1"/>
      <c r="C185" s="1"/>
      <c r="D185" s="1"/>
      <c r="E185" s="25"/>
      <c r="F185" s="25"/>
      <c r="G185" s="2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4"/>
      <c r="B186" s="1"/>
      <c r="C186" s="1"/>
      <c r="D186" s="1"/>
      <c r="E186" s="25"/>
      <c r="F186" s="25"/>
      <c r="G186" s="2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4"/>
      <c r="B187" s="1"/>
      <c r="C187" s="1"/>
      <c r="D187" s="1"/>
      <c r="E187" s="25"/>
      <c r="F187" s="25"/>
      <c r="G187" s="2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4"/>
      <c r="B188" s="1"/>
      <c r="C188" s="1"/>
      <c r="D188" s="1"/>
      <c r="E188" s="25"/>
      <c r="F188" s="25"/>
      <c r="G188" s="2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4"/>
      <c r="B189" s="1"/>
      <c r="C189" s="1"/>
      <c r="D189" s="1"/>
      <c r="E189" s="25"/>
      <c r="F189" s="25"/>
      <c r="G189" s="2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4"/>
      <c r="B190" s="1"/>
      <c r="C190" s="1"/>
      <c r="D190" s="1"/>
      <c r="E190" s="25"/>
      <c r="F190" s="25"/>
      <c r="G190" s="2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4"/>
      <c r="B191" s="1"/>
      <c r="C191" s="1"/>
      <c r="D191" s="1"/>
      <c r="E191" s="25"/>
      <c r="F191" s="25"/>
      <c r="G191" s="2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4"/>
      <c r="B192" s="1"/>
      <c r="C192" s="1"/>
      <c r="D192" s="1"/>
      <c r="E192" s="25"/>
      <c r="F192" s="25"/>
      <c r="G192" s="2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4"/>
      <c r="B193" s="1"/>
      <c r="C193" s="1"/>
      <c r="D193" s="1"/>
      <c r="E193" s="25"/>
      <c r="F193" s="25"/>
      <c r="G193" s="2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4"/>
      <c r="B194" s="1"/>
      <c r="C194" s="1"/>
      <c r="D194" s="1"/>
      <c r="E194" s="25"/>
      <c r="F194" s="25"/>
      <c r="G194" s="2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4"/>
      <c r="B195" s="1"/>
      <c r="C195" s="1"/>
      <c r="D195" s="1"/>
      <c r="E195" s="25"/>
      <c r="F195" s="25"/>
      <c r="G195" s="2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4"/>
      <c r="B196" s="1"/>
      <c r="C196" s="1"/>
      <c r="D196" s="1"/>
      <c r="E196" s="25"/>
      <c r="F196" s="25"/>
      <c r="G196" s="2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4"/>
      <c r="B197" s="1"/>
      <c r="C197" s="1"/>
      <c r="D197" s="1"/>
      <c r="E197" s="25"/>
      <c r="F197" s="25"/>
      <c r="G197" s="2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4"/>
      <c r="B198" s="1"/>
      <c r="C198" s="1"/>
      <c r="D198" s="1"/>
      <c r="E198" s="25"/>
      <c r="F198" s="25"/>
      <c r="G198" s="2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4"/>
      <c r="B199" s="1"/>
      <c r="C199" s="1"/>
      <c r="D199" s="1"/>
      <c r="E199" s="25"/>
      <c r="F199" s="25"/>
      <c r="G199" s="2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4"/>
      <c r="B200" s="1"/>
      <c r="C200" s="1"/>
      <c r="D200" s="1"/>
      <c r="E200" s="25"/>
      <c r="F200" s="25"/>
      <c r="G200" s="2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4"/>
      <c r="B201" s="1"/>
      <c r="C201" s="1"/>
      <c r="D201" s="1"/>
      <c r="E201" s="25"/>
      <c r="F201" s="25"/>
      <c r="G201" s="2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4"/>
      <c r="B202" s="1"/>
      <c r="C202" s="1"/>
      <c r="D202" s="1"/>
      <c r="E202" s="25"/>
      <c r="F202" s="25"/>
      <c r="G202" s="2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4"/>
      <c r="B203" s="1"/>
      <c r="C203" s="1"/>
      <c r="D203" s="1"/>
      <c r="E203" s="25"/>
      <c r="F203" s="25"/>
      <c r="G203" s="2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4"/>
      <c r="B204" s="1"/>
      <c r="C204" s="1"/>
      <c r="D204" s="1"/>
      <c r="E204" s="25"/>
      <c r="F204" s="25"/>
      <c r="G204" s="2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4"/>
      <c r="B205" s="1"/>
      <c r="C205" s="1"/>
      <c r="D205" s="1"/>
      <c r="E205" s="25"/>
      <c r="F205" s="25"/>
      <c r="G205" s="2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4"/>
      <c r="B206" s="1"/>
      <c r="C206" s="1"/>
      <c r="D206" s="1"/>
      <c r="E206" s="25"/>
      <c r="F206" s="25"/>
      <c r="G206" s="2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4"/>
      <c r="B207" s="1"/>
      <c r="C207" s="1"/>
      <c r="D207" s="1"/>
      <c r="E207" s="25"/>
      <c r="F207" s="25"/>
      <c r="G207" s="2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4"/>
      <c r="B208" s="1"/>
      <c r="C208" s="1"/>
      <c r="D208" s="1"/>
      <c r="E208" s="25"/>
      <c r="F208" s="25"/>
      <c r="G208" s="2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4"/>
      <c r="B209" s="1"/>
      <c r="C209" s="1"/>
      <c r="D209" s="1"/>
      <c r="E209" s="25"/>
      <c r="F209" s="25"/>
      <c r="G209" s="2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4"/>
      <c r="B210" s="1"/>
      <c r="C210" s="1"/>
      <c r="D210" s="1"/>
      <c r="E210" s="25"/>
      <c r="F210" s="25"/>
      <c r="G210" s="2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4"/>
      <c r="B211" s="1"/>
      <c r="C211" s="1"/>
      <c r="D211" s="1"/>
      <c r="E211" s="25"/>
      <c r="F211" s="25"/>
      <c r="G211" s="2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4"/>
      <c r="B212" s="1"/>
      <c r="C212" s="1"/>
      <c r="D212" s="1"/>
      <c r="E212" s="25"/>
      <c r="F212" s="25"/>
      <c r="G212" s="2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4"/>
      <c r="B213" s="1"/>
      <c r="C213" s="1"/>
      <c r="D213" s="1"/>
      <c r="E213" s="25"/>
      <c r="F213" s="25"/>
      <c r="G213" s="2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4"/>
      <c r="B214" s="1"/>
      <c r="C214" s="1"/>
      <c r="D214" s="1"/>
      <c r="E214" s="25"/>
      <c r="F214" s="25"/>
      <c r="G214" s="2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4"/>
      <c r="B215" s="1"/>
      <c r="C215" s="1"/>
      <c r="D215" s="1"/>
      <c r="E215" s="25"/>
      <c r="F215" s="25"/>
      <c r="G215" s="2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4"/>
      <c r="B216" s="1"/>
      <c r="C216" s="1"/>
      <c r="D216" s="1"/>
      <c r="E216" s="25"/>
      <c r="F216" s="25"/>
      <c r="G216" s="2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4"/>
      <c r="B217" s="1"/>
      <c r="C217" s="1"/>
      <c r="D217" s="1"/>
      <c r="E217" s="25"/>
      <c r="F217" s="25"/>
      <c r="G217" s="2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4"/>
      <c r="B218" s="1"/>
      <c r="C218" s="1"/>
      <c r="D218" s="1"/>
      <c r="E218" s="25"/>
      <c r="F218" s="25"/>
      <c r="G218" s="2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4"/>
      <c r="B219" s="1"/>
      <c r="C219" s="1"/>
      <c r="D219" s="1"/>
      <c r="E219" s="25"/>
      <c r="F219" s="25"/>
      <c r="G219" s="2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4"/>
      <c r="B220" s="1"/>
      <c r="C220" s="1"/>
      <c r="D220" s="1"/>
      <c r="E220" s="25"/>
      <c r="F220" s="25"/>
      <c r="G220" s="2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4"/>
      <c r="B221" s="1"/>
      <c r="C221" s="1"/>
      <c r="D221" s="1"/>
      <c r="E221" s="25"/>
      <c r="F221" s="25"/>
      <c r="G221" s="2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4"/>
      <c r="B222" s="1"/>
      <c r="C222" s="1"/>
      <c r="D222" s="1"/>
      <c r="E222" s="25"/>
      <c r="F222" s="25"/>
      <c r="G222" s="2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4"/>
      <c r="B223" s="1"/>
      <c r="C223" s="1"/>
      <c r="D223" s="1"/>
      <c r="E223" s="25"/>
      <c r="F223" s="25"/>
      <c r="G223" s="2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4"/>
      <c r="B224" s="1"/>
      <c r="C224" s="1"/>
      <c r="D224" s="1"/>
      <c r="E224" s="25"/>
      <c r="F224" s="25"/>
      <c r="G224" s="2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4"/>
      <c r="B225" s="1"/>
      <c r="C225" s="1"/>
      <c r="D225" s="1"/>
      <c r="E225" s="25"/>
      <c r="F225" s="25"/>
      <c r="G225" s="2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4"/>
      <c r="B226" s="1"/>
      <c r="C226" s="1"/>
      <c r="D226" s="1"/>
      <c r="E226" s="25"/>
      <c r="F226" s="25"/>
      <c r="G226" s="2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4"/>
      <c r="B227" s="1"/>
      <c r="C227" s="1"/>
      <c r="D227" s="1"/>
      <c r="E227" s="25"/>
      <c r="F227" s="25"/>
      <c r="G227" s="2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4"/>
      <c r="B228" s="1"/>
      <c r="C228" s="1"/>
      <c r="D228" s="1"/>
      <c r="E228" s="25"/>
      <c r="F228" s="25"/>
      <c r="G228" s="2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4"/>
      <c r="B229" s="1"/>
      <c r="C229" s="1"/>
      <c r="D229" s="1"/>
      <c r="E229" s="25"/>
      <c r="F229" s="25"/>
      <c r="G229" s="2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4"/>
      <c r="B230" s="1"/>
      <c r="C230" s="1"/>
      <c r="D230" s="1"/>
      <c r="E230" s="25"/>
      <c r="F230" s="25"/>
      <c r="G230" s="2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4"/>
      <c r="B231" s="1"/>
      <c r="C231" s="1"/>
      <c r="D231" s="1"/>
      <c r="E231" s="25"/>
      <c r="F231" s="25"/>
      <c r="G231" s="2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4"/>
      <c r="B232" s="1"/>
      <c r="C232" s="1"/>
      <c r="D232" s="1"/>
      <c r="E232" s="25"/>
      <c r="F232" s="25"/>
      <c r="G232" s="2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4"/>
      <c r="B233" s="1"/>
      <c r="C233" s="1"/>
      <c r="D233" s="1"/>
      <c r="E233" s="25"/>
      <c r="F233" s="25"/>
      <c r="G233" s="2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4"/>
      <c r="B234" s="1"/>
      <c r="C234" s="1"/>
      <c r="D234" s="1"/>
      <c r="E234" s="25"/>
      <c r="F234" s="25"/>
      <c r="G234" s="2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4"/>
      <c r="B235" s="1"/>
      <c r="C235" s="1"/>
      <c r="D235" s="1"/>
      <c r="E235" s="25"/>
      <c r="F235" s="25"/>
      <c r="G235" s="2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4"/>
      <c r="B236" s="1"/>
      <c r="C236" s="1"/>
      <c r="D236" s="1"/>
      <c r="E236" s="25"/>
      <c r="F236" s="25"/>
      <c r="G236" s="2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4"/>
      <c r="B237" s="1"/>
      <c r="C237" s="1"/>
      <c r="D237" s="1"/>
      <c r="E237" s="25"/>
      <c r="F237" s="25"/>
      <c r="G237" s="2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4"/>
      <c r="B238" s="1"/>
      <c r="C238" s="1"/>
      <c r="D238" s="1"/>
      <c r="E238" s="25"/>
      <c r="F238" s="25"/>
      <c r="G238" s="2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4"/>
      <c r="B239" s="1"/>
      <c r="C239" s="1"/>
      <c r="D239" s="1"/>
      <c r="E239" s="25"/>
      <c r="F239" s="25"/>
      <c r="G239" s="2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4"/>
      <c r="B240" s="1"/>
      <c r="C240" s="1"/>
      <c r="D240" s="1"/>
      <c r="E240" s="25"/>
      <c r="F240" s="25"/>
      <c r="G240" s="2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4"/>
      <c r="B241" s="1"/>
      <c r="C241" s="1"/>
      <c r="D241" s="1"/>
      <c r="E241" s="25"/>
      <c r="F241" s="25"/>
      <c r="G241" s="2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4"/>
      <c r="B242" s="1"/>
      <c r="C242" s="1"/>
      <c r="D242" s="1"/>
      <c r="E242" s="25"/>
      <c r="F242" s="25"/>
      <c r="G242" s="2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4"/>
      <c r="B243" s="1"/>
      <c r="C243" s="1"/>
      <c r="D243" s="1"/>
      <c r="E243" s="25"/>
      <c r="F243" s="25"/>
      <c r="G243" s="2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4"/>
      <c r="B244" s="1"/>
      <c r="C244" s="1"/>
      <c r="D244" s="1"/>
      <c r="E244" s="25"/>
      <c r="F244" s="25"/>
      <c r="G244" s="2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4"/>
      <c r="B245" s="1"/>
      <c r="C245" s="1"/>
      <c r="D245" s="1"/>
      <c r="E245" s="25"/>
      <c r="F245" s="25"/>
      <c r="G245" s="2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4"/>
      <c r="B246" s="1"/>
      <c r="C246" s="1"/>
      <c r="D246" s="1"/>
      <c r="E246" s="25"/>
      <c r="F246" s="25"/>
      <c r="G246" s="2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4"/>
      <c r="B247" s="1"/>
      <c r="C247" s="1"/>
      <c r="D247" s="1"/>
      <c r="E247" s="25"/>
      <c r="F247" s="25"/>
      <c r="G247" s="2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4"/>
      <c r="B248" s="1"/>
      <c r="C248" s="1"/>
      <c r="D248" s="1"/>
      <c r="E248" s="25"/>
      <c r="F248" s="25"/>
      <c r="G248" s="2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4"/>
      <c r="B249" s="1"/>
      <c r="C249" s="1"/>
      <c r="D249" s="1"/>
      <c r="E249" s="25"/>
      <c r="F249" s="25"/>
      <c r="G249" s="2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4"/>
      <c r="B250" s="1"/>
      <c r="C250" s="1"/>
      <c r="D250" s="1"/>
      <c r="E250" s="25"/>
      <c r="F250" s="25"/>
      <c r="G250" s="2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4"/>
      <c r="B251" s="1"/>
      <c r="C251" s="1"/>
      <c r="D251" s="1"/>
      <c r="E251" s="25"/>
      <c r="F251" s="25"/>
      <c r="G251" s="2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4"/>
      <c r="B252" s="1"/>
      <c r="C252" s="1"/>
      <c r="D252" s="1"/>
      <c r="E252" s="25"/>
      <c r="F252" s="25"/>
      <c r="G252" s="2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4"/>
      <c r="B253" s="1"/>
      <c r="C253" s="1"/>
      <c r="D253" s="1"/>
      <c r="E253" s="25"/>
      <c r="F253" s="25"/>
      <c r="G253" s="2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4"/>
      <c r="B254" s="1"/>
      <c r="C254" s="1"/>
      <c r="D254" s="1"/>
      <c r="E254" s="25"/>
      <c r="F254" s="25"/>
      <c r="G254" s="2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4"/>
      <c r="B255" s="1"/>
      <c r="C255" s="1"/>
      <c r="D255" s="1"/>
      <c r="E255" s="25"/>
      <c r="F255" s="25"/>
      <c r="G255" s="2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4"/>
      <c r="B256" s="1"/>
      <c r="C256" s="1"/>
      <c r="D256" s="1"/>
      <c r="E256" s="25"/>
      <c r="F256" s="25"/>
      <c r="G256" s="2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4"/>
      <c r="B257" s="1"/>
      <c r="C257" s="1"/>
      <c r="D257" s="1"/>
      <c r="E257" s="25"/>
      <c r="F257" s="25"/>
      <c r="G257" s="2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4"/>
      <c r="B258" s="1"/>
      <c r="C258" s="1"/>
      <c r="D258" s="1"/>
      <c r="E258" s="25"/>
      <c r="F258" s="25"/>
      <c r="G258" s="2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4"/>
      <c r="B259" s="1"/>
      <c r="C259" s="1"/>
      <c r="D259" s="1"/>
      <c r="E259" s="25"/>
      <c r="F259" s="25"/>
      <c r="G259" s="2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4"/>
      <c r="B260" s="1"/>
      <c r="C260" s="1"/>
      <c r="D260" s="1"/>
      <c r="E260" s="25"/>
      <c r="F260" s="25"/>
      <c r="G260" s="2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4"/>
      <c r="B261" s="1"/>
      <c r="C261" s="1"/>
      <c r="D261" s="1"/>
      <c r="E261" s="25"/>
      <c r="F261" s="25"/>
      <c r="G261" s="2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4"/>
      <c r="B262" s="1"/>
      <c r="C262" s="1"/>
      <c r="D262" s="1"/>
      <c r="E262" s="25"/>
      <c r="F262" s="25"/>
      <c r="G262" s="2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4"/>
      <c r="B263" s="1"/>
      <c r="C263" s="1"/>
      <c r="D263" s="1"/>
      <c r="E263" s="25"/>
      <c r="F263" s="25"/>
      <c r="G263" s="2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4"/>
      <c r="B264" s="1"/>
      <c r="C264" s="1"/>
      <c r="D264" s="1"/>
      <c r="E264" s="25"/>
      <c r="F264" s="25"/>
      <c r="G264" s="2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4"/>
      <c r="B265" s="1"/>
      <c r="C265" s="1"/>
      <c r="D265" s="1"/>
      <c r="E265" s="25"/>
      <c r="F265" s="25"/>
      <c r="G265" s="2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4"/>
      <c r="B266" s="1"/>
      <c r="C266" s="1"/>
      <c r="D266" s="1"/>
      <c r="E266" s="25"/>
      <c r="F266" s="25"/>
      <c r="G266" s="2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4"/>
      <c r="B267" s="1"/>
      <c r="C267" s="1"/>
      <c r="D267" s="1"/>
      <c r="E267" s="25"/>
      <c r="F267" s="25"/>
      <c r="G267" s="2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4"/>
      <c r="B268" s="1"/>
      <c r="C268" s="1"/>
      <c r="D268" s="1"/>
      <c r="E268" s="25"/>
      <c r="F268" s="25"/>
      <c r="G268" s="2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4"/>
      <c r="B269" s="1"/>
      <c r="C269" s="1"/>
      <c r="D269" s="1"/>
      <c r="E269" s="25"/>
      <c r="F269" s="25"/>
      <c r="G269" s="2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4"/>
      <c r="B270" s="1"/>
      <c r="C270" s="1"/>
      <c r="D270" s="1"/>
      <c r="E270" s="25"/>
      <c r="F270" s="25"/>
      <c r="G270" s="2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4"/>
      <c r="B271" s="1"/>
      <c r="C271" s="1"/>
      <c r="D271" s="1"/>
      <c r="E271" s="25"/>
      <c r="F271" s="25"/>
      <c r="G271" s="2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4"/>
      <c r="B272" s="1"/>
      <c r="C272" s="1"/>
      <c r="D272" s="1"/>
      <c r="E272" s="25"/>
      <c r="F272" s="25"/>
      <c r="G272" s="2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4"/>
      <c r="B273" s="1"/>
      <c r="C273" s="1"/>
      <c r="D273" s="1"/>
      <c r="E273" s="25"/>
      <c r="F273" s="25"/>
      <c r="G273" s="2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4"/>
      <c r="B274" s="1"/>
      <c r="C274" s="1"/>
      <c r="D274" s="1"/>
      <c r="E274" s="25"/>
      <c r="F274" s="25"/>
      <c r="G274" s="2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4"/>
      <c r="B275" s="1"/>
      <c r="C275" s="1"/>
      <c r="D275" s="1"/>
      <c r="E275" s="25"/>
      <c r="F275" s="25"/>
      <c r="G275" s="2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4"/>
      <c r="B276" s="1"/>
      <c r="C276" s="1"/>
      <c r="D276" s="1"/>
      <c r="E276" s="25"/>
      <c r="F276" s="25"/>
      <c r="G276" s="2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4"/>
      <c r="B277" s="1"/>
      <c r="C277" s="1"/>
      <c r="D277" s="1"/>
      <c r="E277" s="25"/>
      <c r="F277" s="25"/>
      <c r="G277" s="2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4"/>
      <c r="B278" s="1"/>
      <c r="C278" s="1"/>
      <c r="D278" s="1"/>
      <c r="E278" s="25"/>
      <c r="F278" s="25"/>
      <c r="G278" s="2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4"/>
      <c r="B279" s="1"/>
      <c r="C279" s="1"/>
      <c r="D279" s="1"/>
      <c r="E279" s="25"/>
      <c r="F279" s="25"/>
      <c r="G279" s="2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4"/>
      <c r="B280" s="1"/>
      <c r="C280" s="1"/>
      <c r="D280" s="1"/>
      <c r="E280" s="25"/>
      <c r="F280" s="25"/>
      <c r="G280" s="2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4"/>
      <c r="B281" s="1"/>
      <c r="C281" s="1"/>
      <c r="D281" s="1"/>
      <c r="E281" s="25"/>
      <c r="F281" s="25"/>
      <c r="G281" s="2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4"/>
      <c r="B282" s="1"/>
      <c r="C282" s="1"/>
      <c r="D282" s="1"/>
      <c r="E282" s="25"/>
      <c r="F282" s="25"/>
      <c r="G282" s="2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4"/>
      <c r="B283" s="1"/>
      <c r="C283" s="1"/>
      <c r="D283" s="1"/>
      <c r="E283" s="25"/>
      <c r="F283" s="25"/>
      <c r="G283" s="2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4"/>
      <c r="B284" s="1"/>
      <c r="C284" s="1"/>
      <c r="D284" s="1"/>
      <c r="E284" s="25"/>
      <c r="F284" s="25"/>
      <c r="G284" s="2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4"/>
      <c r="B285" s="1"/>
      <c r="C285" s="1"/>
      <c r="D285" s="1"/>
      <c r="E285" s="25"/>
      <c r="F285" s="25"/>
      <c r="G285" s="2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4"/>
      <c r="B286" s="1"/>
      <c r="C286" s="1"/>
      <c r="D286" s="1"/>
      <c r="E286" s="25"/>
      <c r="F286" s="25"/>
      <c r="G286" s="2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4"/>
      <c r="B287" s="1"/>
      <c r="C287" s="1"/>
      <c r="D287" s="1"/>
      <c r="E287" s="25"/>
      <c r="F287" s="25"/>
      <c r="G287" s="2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4"/>
      <c r="B288" s="1"/>
      <c r="C288" s="1"/>
      <c r="D288" s="1"/>
      <c r="E288" s="25"/>
      <c r="F288" s="25"/>
      <c r="G288" s="2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4"/>
      <c r="B289" s="1"/>
      <c r="C289" s="1"/>
      <c r="D289" s="1"/>
      <c r="E289" s="25"/>
      <c r="F289" s="25"/>
      <c r="G289" s="2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4"/>
      <c r="B290" s="1"/>
      <c r="C290" s="1"/>
      <c r="D290" s="1"/>
      <c r="E290" s="25"/>
      <c r="F290" s="25"/>
      <c r="G290" s="2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4"/>
      <c r="B291" s="1"/>
      <c r="C291" s="1"/>
      <c r="D291" s="1"/>
      <c r="E291" s="25"/>
      <c r="F291" s="25"/>
      <c r="G291" s="2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4"/>
      <c r="B292" s="1"/>
      <c r="C292" s="1"/>
      <c r="D292" s="1"/>
      <c r="E292" s="25"/>
      <c r="F292" s="25"/>
      <c r="G292" s="2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4"/>
      <c r="B293" s="1"/>
      <c r="C293" s="1"/>
      <c r="D293" s="1"/>
      <c r="E293" s="25"/>
      <c r="F293" s="25"/>
      <c r="G293" s="2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4"/>
      <c r="B294" s="1"/>
      <c r="C294" s="1"/>
      <c r="D294" s="1"/>
      <c r="E294" s="25"/>
      <c r="F294" s="25"/>
      <c r="G294" s="2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4"/>
      <c r="B295" s="1"/>
      <c r="C295" s="1"/>
      <c r="D295" s="1"/>
      <c r="E295" s="25"/>
      <c r="F295" s="25"/>
      <c r="G295" s="2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4"/>
      <c r="B296" s="1"/>
      <c r="C296" s="1"/>
      <c r="D296" s="1"/>
      <c r="E296" s="25"/>
      <c r="F296" s="25"/>
      <c r="G296" s="2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4"/>
      <c r="B297" s="1"/>
      <c r="C297" s="1"/>
      <c r="D297" s="1"/>
      <c r="E297" s="25"/>
      <c r="F297" s="25"/>
      <c r="G297" s="2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4"/>
      <c r="B298" s="1"/>
      <c r="C298" s="1"/>
      <c r="D298" s="1"/>
      <c r="E298" s="25"/>
      <c r="F298" s="25"/>
      <c r="G298" s="2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4"/>
      <c r="B299" s="1"/>
      <c r="C299" s="1"/>
      <c r="D299" s="1"/>
      <c r="E299" s="25"/>
      <c r="F299" s="25"/>
      <c r="G299" s="2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4"/>
      <c r="B300" s="1"/>
      <c r="C300" s="1"/>
      <c r="D300" s="1"/>
      <c r="E300" s="25"/>
      <c r="F300" s="25"/>
      <c r="G300" s="2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4"/>
      <c r="B301" s="1"/>
      <c r="C301" s="1"/>
      <c r="D301" s="1"/>
      <c r="E301" s="25"/>
      <c r="F301" s="25"/>
      <c r="G301" s="2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4"/>
      <c r="B302" s="1"/>
      <c r="C302" s="1"/>
      <c r="D302" s="1"/>
      <c r="E302" s="25"/>
      <c r="F302" s="25"/>
      <c r="G302" s="2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4"/>
      <c r="B303" s="1"/>
      <c r="C303" s="1"/>
      <c r="D303" s="1"/>
      <c r="E303" s="25"/>
      <c r="F303" s="25"/>
      <c r="G303" s="2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4"/>
      <c r="B304" s="1"/>
      <c r="C304" s="1"/>
      <c r="D304" s="1"/>
      <c r="E304" s="25"/>
      <c r="F304" s="25"/>
      <c r="G304" s="2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4"/>
      <c r="B305" s="1"/>
      <c r="C305" s="1"/>
      <c r="D305" s="1"/>
      <c r="E305" s="25"/>
      <c r="F305" s="25"/>
      <c r="G305" s="2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4"/>
      <c r="B306" s="1"/>
      <c r="C306" s="1"/>
      <c r="D306" s="1"/>
      <c r="E306" s="25"/>
      <c r="F306" s="25"/>
      <c r="G306" s="2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4"/>
      <c r="B307" s="1"/>
      <c r="C307" s="1"/>
      <c r="D307" s="1"/>
      <c r="E307" s="25"/>
      <c r="F307" s="25"/>
      <c r="G307" s="2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4"/>
      <c r="B308" s="1"/>
      <c r="C308" s="1"/>
      <c r="D308" s="1"/>
      <c r="E308" s="25"/>
      <c r="F308" s="25"/>
      <c r="G308" s="2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4"/>
      <c r="B309" s="1"/>
      <c r="C309" s="1"/>
      <c r="D309" s="1"/>
      <c r="E309" s="25"/>
      <c r="F309" s="25"/>
      <c r="G309" s="2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4"/>
      <c r="B310" s="1"/>
      <c r="C310" s="1"/>
      <c r="D310" s="1"/>
      <c r="E310" s="25"/>
      <c r="F310" s="25"/>
      <c r="G310" s="2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4"/>
      <c r="B311" s="1"/>
      <c r="C311" s="1"/>
      <c r="D311" s="1"/>
      <c r="E311" s="25"/>
      <c r="F311" s="25"/>
      <c r="G311" s="2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4"/>
      <c r="B312" s="1"/>
      <c r="C312" s="1"/>
      <c r="D312" s="1"/>
      <c r="E312" s="25"/>
      <c r="F312" s="25"/>
      <c r="G312" s="2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4"/>
      <c r="B313" s="1"/>
      <c r="C313" s="1"/>
      <c r="D313" s="1"/>
      <c r="E313" s="25"/>
      <c r="F313" s="25"/>
      <c r="G313" s="2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4"/>
      <c r="B314" s="1"/>
      <c r="C314" s="1"/>
      <c r="D314" s="1"/>
      <c r="E314" s="25"/>
      <c r="F314" s="25"/>
      <c r="G314" s="2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4"/>
      <c r="B315" s="1"/>
      <c r="C315" s="1"/>
      <c r="D315" s="1"/>
      <c r="E315" s="25"/>
      <c r="F315" s="25"/>
      <c r="G315" s="2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4"/>
      <c r="B316" s="1"/>
      <c r="C316" s="1"/>
      <c r="D316" s="1"/>
      <c r="E316" s="25"/>
      <c r="F316" s="25"/>
      <c r="G316" s="2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4"/>
      <c r="B317" s="1"/>
      <c r="C317" s="1"/>
      <c r="D317" s="1"/>
      <c r="E317" s="25"/>
      <c r="F317" s="25"/>
      <c r="G317" s="2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4"/>
      <c r="B318" s="1"/>
      <c r="C318" s="1"/>
      <c r="D318" s="1"/>
      <c r="E318" s="25"/>
      <c r="F318" s="25"/>
      <c r="G318" s="2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4"/>
      <c r="B319" s="1"/>
      <c r="C319" s="1"/>
      <c r="D319" s="1"/>
      <c r="E319" s="25"/>
      <c r="F319" s="25"/>
      <c r="G319" s="2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4"/>
      <c r="B320" s="1"/>
      <c r="C320" s="1"/>
      <c r="D320" s="1"/>
      <c r="E320" s="25"/>
      <c r="F320" s="25"/>
      <c r="G320" s="2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4"/>
      <c r="B321" s="1"/>
      <c r="C321" s="1"/>
      <c r="D321" s="1"/>
      <c r="E321" s="25"/>
      <c r="F321" s="25"/>
      <c r="G321" s="2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4"/>
      <c r="B322" s="1"/>
      <c r="C322" s="1"/>
      <c r="D322" s="1"/>
      <c r="E322" s="25"/>
      <c r="F322" s="25"/>
      <c r="G322" s="2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4"/>
      <c r="B323" s="1"/>
      <c r="C323" s="1"/>
      <c r="D323" s="1"/>
      <c r="E323" s="25"/>
      <c r="F323" s="25"/>
      <c r="G323" s="2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4"/>
      <c r="B324" s="1"/>
      <c r="C324" s="1"/>
      <c r="D324" s="1"/>
      <c r="E324" s="25"/>
      <c r="F324" s="25"/>
      <c r="G324" s="2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4"/>
      <c r="B325" s="1"/>
      <c r="C325" s="1"/>
      <c r="D325" s="1"/>
      <c r="E325" s="25"/>
      <c r="F325" s="25"/>
      <c r="G325" s="2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4"/>
      <c r="B326" s="1"/>
      <c r="C326" s="1"/>
      <c r="D326" s="1"/>
      <c r="E326" s="25"/>
      <c r="F326" s="25"/>
      <c r="G326" s="2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4"/>
      <c r="B327" s="1"/>
      <c r="C327" s="1"/>
      <c r="D327" s="1"/>
      <c r="E327" s="25"/>
      <c r="F327" s="25"/>
      <c r="G327" s="2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4"/>
      <c r="B328" s="1"/>
      <c r="C328" s="1"/>
      <c r="D328" s="1"/>
      <c r="E328" s="25"/>
      <c r="F328" s="25"/>
      <c r="G328" s="2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4"/>
      <c r="B329" s="1"/>
      <c r="C329" s="1"/>
      <c r="D329" s="1"/>
      <c r="E329" s="25"/>
      <c r="F329" s="25"/>
      <c r="G329" s="2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4"/>
      <c r="B330" s="1"/>
      <c r="C330" s="1"/>
      <c r="D330" s="1"/>
      <c r="E330" s="25"/>
      <c r="F330" s="25"/>
      <c r="G330" s="2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4"/>
      <c r="B331" s="1"/>
      <c r="C331" s="1"/>
      <c r="D331" s="1"/>
      <c r="E331" s="25"/>
      <c r="F331" s="25"/>
      <c r="G331" s="2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4"/>
      <c r="B332" s="1"/>
      <c r="C332" s="1"/>
      <c r="D332" s="1"/>
      <c r="E332" s="25"/>
      <c r="F332" s="25"/>
      <c r="G332" s="2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4"/>
      <c r="B333" s="1"/>
      <c r="C333" s="1"/>
      <c r="D333" s="1"/>
      <c r="E333" s="25"/>
      <c r="F333" s="25"/>
      <c r="G333" s="2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4"/>
      <c r="B334" s="1"/>
      <c r="C334" s="1"/>
      <c r="D334" s="1"/>
      <c r="E334" s="25"/>
      <c r="F334" s="25"/>
      <c r="G334" s="2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4"/>
      <c r="B335" s="1"/>
      <c r="C335" s="1"/>
      <c r="D335" s="1"/>
      <c r="E335" s="25"/>
      <c r="F335" s="25"/>
      <c r="G335" s="2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4"/>
      <c r="B336" s="1"/>
      <c r="C336" s="1"/>
      <c r="D336" s="1"/>
      <c r="E336" s="25"/>
      <c r="F336" s="25"/>
      <c r="G336" s="2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4"/>
      <c r="B337" s="1"/>
      <c r="C337" s="1"/>
      <c r="D337" s="1"/>
      <c r="E337" s="25"/>
      <c r="F337" s="25"/>
      <c r="G337" s="2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4"/>
      <c r="B338" s="1"/>
      <c r="C338" s="1"/>
      <c r="D338" s="1"/>
      <c r="E338" s="25"/>
      <c r="F338" s="25"/>
      <c r="G338" s="2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4"/>
      <c r="B339" s="1"/>
      <c r="C339" s="1"/>
      <c r="D339" s="1"/>
      <c r="E339" s="25"/>
      <c r="F339" s="25"/>
      <c r="G339" s="2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4"/>
      <c r="B340" s="1"/>
      <c r="C340" s="1"/>
      <c r="D340" s="1"/>
      <c r="E340" s="25"/>
      <c r="F340" s="25"/>
      <c r="G340" s="2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4"/>
      <c r="B341" s="1"/>
      <c r="C341" s="1"/>
      <c r="D341" s="1"/>
      <c r="E341" s="25"/>
      <c r="F341" s="25"/>
      <c r="G341" s="2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4"/>
      <c r="B342" s="1"/>
      <c r="C342" s="1"/>
      <c r="D342" s="1"/>
      <c r="E342" s="25"/>
      <c r="F342" s="25"/>
      <c r="G342" s="2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4"/>
      <c r="B343" s="1"/>
      <c r="C343" s="1"/>
      <c r="D343" s="1"/>
      <c r="E343" s="25"/>
      <c r="F343" s="25"/>
      <c r="G343" s="2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4"/>
      <c r="B344" s="1"/>
      <c r="C344" s="1"/>
      <c r="D344" s="1"/>
      <c r="E344" s="25"/>
      <c r="F344" s="25"/>
      <c r="G344" s="2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4"/>
      <c r="B345" s="1"/>
      <c r="C345" s="1"/>
      <c r="D345" s="1"/>
      <c r="E345" s="25"/>
      <c r="F345" s="25"/>
      <c r="G345" s="2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4"/>
      <c r="B346" s="1"/>
      <c r="C346" s="1"/>
      <c r="D346" s="1"/>
      <c r="E346" s="25"/>
      <c r="F346" s="25"/>
      <c r="G346" s="2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</cols>
  <sheetData>
    <row r="1" ht="15.75" customHeight="1">
      <c r="A1" s="1"/>
      <c r="B1" s="1"/>
      <c r="C1" s="1"/>
      <c r="D1" s="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69" t="s">
        <v>1276</v>
      </c>
      <c r="B2" s="7"/>
      <c r="C2" s="1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/>
      <c r="B3" s="1"/>
      <c r="C3" s="1"/>
      <c r="D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38" t="s">
        <v>1266</v>
      </c>
      <c r="B4" s="38" t="s">
        <v>1</v>
      </c>
      <c r="C4" s="38" t="s">
        <v>1268</v>
      </c>
      <c r="D4" s="39" t="s">
        <v>1269</v>
      </c>
      <c r="E4" s="39" t="s">
        <v>1270</v>
      </c>
      <c r="F4" s="39" t="s">
        <v>1271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4"/>
      <c r="B5" s="2"/>
      <c r="C5" s="1"/>
      <c r="D5" s="25"/>
      <c r="E5" s="25"/>
      <c r="F5" s="25">
        <v>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4">
        <v>1.0</v>
      </c>
      <c r="B6" s="2" t="s">
        <v>1277</v>
      </c>
      <c r="C6" s="1" t="s">
        <v>13</v>
      </c>
      <c r="D6" s="25">
        <v>1000000.0</v>
      </c>
      <c r="E6" s="25"/>
      <c r="F6" s="25">
        <f>F5+D6-E6</f>
        <v>1000000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4">
        <v>2.0</v>
      </c>
      <c r="B7" s="2" t="s">
        <v>1277</v>
      </c>
      <c r="C7" s="1"/>
      <c r="D7" s="25"/>
      <c r="E7" s="25"/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4">
        <v>3.0</v>
      </c>
      <c r="B8" s="2"/>
      <c r="C8" s="1"/>
      <c r="D8" s="25"/>
      <c r="E8" s="1"/>
      <c r="F8" s="2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4">
        <v>4.0</v>
      </c>
      <c r="B9" s="2"/>
      <c r="C9" s="1"/>
      <c r="D9" s="25"/>
      <c r="E9" s="1"/>
      <c r="F9" s="2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4">
        <v>5.0</v>
      </c>
      <c r="B10" s="2"/>
      <c r="C10" s="1"/>
      <c r="D10" s="25"/>
      <c r="E10" s="1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4">
        <v>6.0</v>
      </c>
      <c r="B11" s="2"/>
      <c r="C11" s="1"/>
      <c r="D11" s="25"/>
      <c r="E11" s="1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4">
        <v>7.0</v>
      </c>
      <c r="B12" s="2"/>
      <c r="C12" s="1"/>
      <c r="D12" s="25"/>
      <c r="E12" s="1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4">
        <v>8.0</v>
      </c>
      <c r="B13" s="2"/>
      <c r="C13" s="1"/>
      <c r="D13" s="25"/>
      <c r="E13" s="1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4">
        <v>9.0</v>
      </c>
      <c r="B14" s="2"/>
      <c r="C14" s="1"/>
      <c r="D14" s="25"/>
      <c r="E14" s="1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4">
        <v>10.0</v>
      </c>
      <c r="B15" s="2"/>
      <c r="C15" s="1"/>
      <c r="D15" s="25"/>
      <c r="E15" s="1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4"/>
      <c r="B16" s="1"/>
      <c r="C16" s="1"/>
      <c r="D16" s="2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4"/>
      <c r="B17" s="1"/>
      <c r="C17" s="1"/>
      <c r="D17" s="2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4"/>
      <c r="B18" s="1"/>
      <c r="C18" s="1"/>
      <c r="D18" s="2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1"/>
      <c r="C19" s="1"/>
      <c r="D19" s="2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2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2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2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2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2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2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2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2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2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2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2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2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2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2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2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2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2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2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2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2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2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2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2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2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2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2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2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2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2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2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2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2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2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2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2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2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2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2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2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2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2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2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2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2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2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2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2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2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2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2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2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2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2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2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2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2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2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2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2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2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2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2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2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2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2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2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2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2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2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2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2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2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2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2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2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2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2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2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2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2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3" max="3" width="11.25"/>
    <col customWidth="1" min="4" max="4" width="22.75"/>
  </cols>
  <sheetData>
    <row r="1" ht="15.75" customHeight="1"/>
    <row r="2" ht="15.75" customHeight="1">
      <c r="A2" s="68" t="s">
        <v>1278</v>
      </c>
      <c r="B2" s="7"/>
      <c r="C2" s="7"/>
      <c r="D2" s="1"/>
      <c r="E2" s="1"/>
      <c r="F2" s="25"/>
      <c r="G2" s="2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4"/>
      <c r="B3" s="1"/>
      <c r="C3" s="1"/>
      <c r="D3" s="1"/>
      <c r="E3" s="1"/>
      <c r="F3" s="25"/>
      <c r="G3" s="2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4"/>
      <c r="B4" s="1"/>
      <c r="C4" s="1"/>
      <c r="D4" s="1"/>
      <c r="E4" s="1"/>
      <c r="F4" s="25"/>
      <c r="G4" s="2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38" t="s">
        <v>1266</v>
      </c>
      <c r="B5" s="38" t="s">
        <v>1</v>
      </c>
      <c r="C5" s="38" t="s">
        <v>1267</v>
      </c>
      <c r="D5" s="38" t="s">
        <v>1268</v>
      </c>
      <c r="E5" s="38" t="s">
        <v>1269</v>
      </c>
      <c r="F5" s="39" t="s">
        <v>1270</v>
      </c>
      <c r="G5" s="39" t="s">
        <v>1271</v>
      </c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4">
        <v>1.0</v>
      </c>
      <c r="B6" s="14" t="s">
        <v>1279</v>
      </c>
      <c r="C6" s="1"/>
      <c r="D6" s="1" t="s">
        <v>1272</v>
      </c>
      <c r="E6" s="1"/>
      <c r="F6" s="25"/>
      <c r="G6" s="25">
        <v>0.0</v>
      </c>
      <c r="H6" s="1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4">
        <v>2.0</v>
      </c>
      <c r="B7" s="14" t="s">
        <v>1279</v>
      </c>
      <c r="C7" s="1"/>
      <c r="D7" s="1" t="s">
        <v>1280</v>
      </c>
      <c r="E7" s="25"/>
      <c r="F7" s="25">
        <v>425000.0</v>
      </c>
      <c r="G7" s="25">
        <f t="shared" ref="G7:G18" si="1">(G6+E7)-F7</f>
        <v>-425000</v>
      </c>
      <c r="H7" s="1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4">
        <v>3.0</v>
      </c>
      <c r="B8" s="14" t="s">
        <v>1281</v>
      </c>
      <c r="C8" s="1"/>
      <c r="D8" s="1" t="s">
        <v>1282</v>
      </c>
      <c r="E8" s="25">
        <v>10000.0</v>
      </c>
      <c r="F8" s="25"/>
      <c r="G8" s="25">
        <f t="shared" si="1"/>
        <v>-415000</v>
      </c>
      <c r="H8" s="1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4">
        <v>4.0</v>
      </c>
      <c r="B9" s="14" t="s">
        <v>1283</v>
      </c>
      <c r="C9" s="4"/>
      <c r="D9" s="1" t="s">
        <v>1284</v>
      </c>
      <c r="E9" s="25">
        <v>30000.0</v>
      </c>
      <c r="F9" s="25"/>
      <c r="G9" s="25">
        <f t="shared" si="1"/>
        <v>-385000</v>
      </c>
      <c r="H9" s="1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4">
        <v>5.0</v>
      </c>
      <c r="B10" s="14" t="s">
        <v>1285</v>
      </c>
      <c r="C10" s="4"/>
      <c r="D10" s="1"/>
      <c r="E10" s="1"/>
      <c r="F10" s="25"/>
      <c r="G10" s="25">
        <f t="shared" si="1"/>
        <v>-385000</v>
      </c>
      <c r="H10" s="1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4">
        <v>6.0</v>
      </c>
      <c r="G11" s="25">
        <f t="shared" si="1"/>
        <v>-385000</v>
      </c>
    </row>
    <row r="12" ht="15.75" customHeight="1">
      <c r="A12" s="4">
        <v>7.0</v>
      </c>
      <c r="G12" s="25">
        <f t="shared" si="1"/>
        <v>-385000</v>
      </c>
    </row>
    <row r="13" ht="15.75" customHeight="1">
      <c r="A13" s="4">
        <v>8.0</v>
      </c>
      <c r="G13" s="25">
        <f t="shared" si="1"/>
        <v>-385000</v>
      </c>
    </row>
    <row r="14" ht="15.75" customHeight="1">
      <c r="A14" s="4">
        <v>9.0</v>
      </c>
      <c r="G14" s="25">
        <f t="shared" si="1"/>
        <v>-385000</v>
      </c>
    </row>
    <row r="15" ht="15.75" customHeight="1">
      <c r="A15" s="4">
        <v>10.0</v>
      </c>
      <c r="G15" s="25">
        <f t="shared" si="1"/>
        <v>-385000</v>
      </c>
    </row>
    <row r="16" ht="15.75" customHeight="1">
      <c r="A16" s="4">
        <v>11.0</v>
      </c>
      <c r="G16" s="25">
        <f t="shared" si="1"/>
        <v>-385000</v>
      </c>
    </row>
    <row r="17" ht="15.75" customHeight="1">
      <c r="A17" s="4">
        <v>12.0</v>
      </c>
      <c r="G17" s="25">
        <f t="shared" si="1"/>
        <v>-385000</v>
      </c>
    </row>
    <row r="18" ht="15.75" customHeight="1">
      <c r="A18" s="4">
        <v>13.0</v>
      </c>
      <c r="G18" s="25">
        <f t="shared" si="1"/>
        <v>-385000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2.63"/>
    <col customWidth="1" min="5" max="5" width="7.25"/>
    <col customWidth="1" min="6" max="6" width="24.5"/>
    <col customWidth="1" min="10" max="10" width="4.63"/>
    <col customWidth="1" min="11" max="11" width="23.5"/>
    <col customWidth="1" min="12" max="12" width="7.63"/>
    <col customWidth="1" min="13" max="13" width="3.75"/>
    <col customWidth="1" min="14" max="14" width="6.38"/>
    <col customWidth="1" min="15" max="15" width="20.63"/>
    <col customWidth="1" min="18" max="18" width="6.25"/>
    <col customWidth="1" min="19" max="19" width="35.38"/>
    <col customWidth="1" min="22" max="22" width="22.75"/>
    <col customWidth="1" min="23" max="23" width="5.63"/>
    <col customWidth="1" min="24" max="24" width="25.88"/>
    <col customWidth="1" min="25" max="25" width="11.63"/>
    <col customWidth="1" min="28" max="28" width="6.88"/>
    <col customWidth="1" min="29" max="29" width="24.38"/>
    <col customWidth="1" min="35" max="35" width="19.13"/>
  </cols>
  <sheetData>
    <row r="1" ht="15.75" customHeight="1">
      <c r="AB1" s="33"/>
      <c r="AC1" s="33"/>
      <c r="AD1" s="33"/>
      <c r="AE1" s="33"/>
      <c r="AF1" s="33"/>
    </row>
    <row r="2" ht="15.75" customHeight="1">
      <c r="A2" s="70" t="s">
        <v>1286</v>
      </c>
      <c r="B2" s="70"/>
      <c r="R2" s="71" t="s">
        <v>1287</v>
      </c>
      <c r="S2" s="71"/>
      <c r="T2" s="71"/>
      <c r="U2" s="71"/>
      <c r="W2" s="71" t="s">
        <v>1288</v>
      </c>
      <c r="X2" s="71"/>
      <c r="Y2" s="71"/>
      <c r="Z2" s="71"/>
      <c r="AB2" s="71" t="s">
        <v>1289</v>
      </c>
      <c r="AC2" s="72"/>
      <c r="AD2" s="72"/>
      <c r="AE2" s="33"/>
      <c r="AF2" s="33"/>
    </row>
    <row r="3" ht="15.75" customHeight="1">
      <c r="AB3" s="33"/>
      <c r="AC3" s="33"/>
      <c r="AD3" s="33"/>
      <c r="AE3" s="33"/>
      <c r="AF3" s="33"/>
    </row>
    <row r="4" ht="15.75" customHeight="1">
      <c r="A4" s="73" t="s">
        <v>1290</v>
      </c>
      <c r="D4" s="24"/>
      <c r="E4" s="24"/>
      <c r="F4" s="74"/>
      <c r="G4" s="74"/>
      <c r="H4" s="75"/>
      <c r="I4" s="75"/>
      <c r="J4" s="75"/>
      <c r="K4" s="75"/>
      <c r="L4" s="75"/>
      <c r="M4" s="75"/>
      <c r="N4" s="75"/>
      <c r="O4" s="75"/>
      <c r="P4" s="75"/>
      <c r="Q4" s="75"/>
      <c r="R4" s="74" t="s">
        <v>1290</v>
      </c>
      <c r="U4" s="75"/>
      <c r="V4" s="75"/>
      <c r="W4" s="74" t="s">
        <v>1290</v>
      </c>
      <c r="Z4" s="75"/>
      <c r="AA4" s="75"/>
      <c r="AB4" s="74" t="s">
        <v>1290</v>
      </c>
      <c r="AE4" s="33"/>
      <c r="AF4" s="33"/>
      <c r="AG4" s="75"/>
      <c r="AH4" s="74" t="s">
        <v>1290</v>
      </c>
      <c r="AK4" s="33"/>
      <c r="AL4" s="33"/>
    </row>
    <row r="5" ht="15.75" customHeight="1">
      <c r="A5" s="73" t="s">
        <v>1291</v>
      </c>
      <c r="D5" s="24"/>
      <c r="E5" s="24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6">
        <v>45724.0</v>
      </c>
      <c r="U5" s="75"/>
      <c r="V5" s="75"/>
      <c r="W5" s="75" t="s">
        <v>1292</v>
      </c>
      <c r="Z5" s="75"/>
      <c r="AA5" s="75"/>
      <c r="AB5" s="77">
        <v>46001.0</v>
      </c>
      <c r="AE5" s="33"/>
      <c r="AF5" s="33"/>
      <c r="AG5" s="75"/>
      <c r="AH5" s="75" t="s">
        <v>1293</v>
      </c>
      <c r="AK5" s="33"/>
      <c r="AL5" s="33"/>
    </row>
    <row r="6" ht="15.75" customHeight="1">
      <c r="A6" s="78" t="s">
        <v>1266</v>
      </c>
      <c r="B6" s="78" t="s">
        <v>1294</v>
      </c>
      <c r="C6" s="78" t="s">
        <v>8</v>
      </c>
      <c r="D6" s="79" t="s">
        <v>1295</v>
      </c>
      <c r="E6" s="79" t="s">
        <v>1296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 t="s">
        <v>1266</v>
      </c>
      <c r="S6" s="80" t="s">
        <v>1294</v>
      </c>
      <c r="T6" s="80" t="s">
        <v>8</v>
      </c>
      <c r="U6" s="80"/>
      <c r="V6" s="80"/>
      <c r="W6" s="80" t="s">
        <v>1266</v>
      </c>
      <c r="X6" s="80" t="s">
        <v>1294</v>
      </c>
      <c r="Y6" s="80" t="s">
        <v>8</v>
      </c>
      <c r="Z6" s="80"/>
      <c r="AA6" s="80"/>
      <c r="AB6" s="80" t="s">
        <v>1266</v>
      </c>
      <c r="AC6" s="80" t="s">
        <v>1294</v>
      </c>
      <c r="AD6" s="80" t="s">
        <v>8</v>
      </c>
      <c r="AE6" s="81" t="s">
        <v>1295</v>
      </c>
      <c r="AF6" s="81" t="s">
        <v>1296</v>
      </c>
      <c r="AG6" s="80"/>
      <c r="AH6" s="80" t="s">
        <v>1266</v>
      </c>
      <c r="AI6" s="80" t="s">
        <v>1294</v>
      </c>
      <c r="AJ6" s="80" t="s">
        <v>8</v>
      </c>
      <c r="AK6" s="81" t="s">
        <v>1295</v>
      </c>
      <c r="AL6" s="81" t="s">
        <v>1296</v>
      </c>
    </row>
    <row r="7" ht="15.75" customHeight="1">
      <c r="A7" s="82">
        <v>1.0</v>
      </c>
      <c r="B7" s="24" t="s">
        <v>1297</v>
      </c>
      <c r="C7" s="82">
        <v>150.0</v>
      </c>
      <c r="D7" s="82">
        <v>50.0</v>
      </c>
      <c r="E7" s="82">
        <v>100.0</v>
      </c>
      <c r="F7" s="33"/>
      <c r="G7" s="83"/>
      <c r="H7" s="83"/>
      <c r="I7" s="83"/>
      <c r="J7" s="83"/>
      <c r="K7" s="84"/>
      <c r="L7" s="85"/>
      <c r="M7" s="83"/>
      <c r="N7" s="85"/>
      <c r="O7" s="85"/>
      <c r="P7" s="83"/>
      <c r="Q7" s="83"/>
      <c r="R7" s="83">
        <v>1.0</v>
      </c>
      <c r="S7" s="33" t="s">
        <v>1297</v>
      </c>
      <c r="T7" s="86">
        <v>100.0</v>
      </c>
      <c r="U7" s="83"/>
      <c r="V7" s="83"/>
      <c r="W7" s="83">
        <v>1.0</v>
      </c>
      <c r="X7" s="33" t="s">
        <v>1297</v>
      </c>
      <c r="Y7" s="86">
        <v>70.0</v>
      </c>
      <c r="Z7" s="83"/>
      <c r="AA7" s="83"/>
      <c r="AB7" s="83">
        <v>1.0</v>
      </c>
      <c r="AC7" s="33" t="s">
        <v>1297</v>
      </c>
      <c r="AD7" s="83">
        <v>100.0</v>
      </c>
      <c r="AE7" s="83">
        <v>50.0</v>
      </c>
      <c r="AF7" s="83">
        <v>50.0</v>
      </c>
      <c r="AG7" s="83"/>
      <c r="AH7" s="83">
        <v>1.0</v>
      </c>
      <c r="AI7" s="33" t="s">
        <v>1297</v>
      </c>
      <c r="AJ7" s="83">
        <v>100.0</v>
      </c>
      <c r="AK7" s="83">
        <v>40.0</v>
      </c>
      <c r="AL7" s="83">
        <v>60.0</v>
      </c>
    </row>
    <row r="8" ht="15.75" customHeight="1">
      <c r="A8" s="82">
        <v>2.0</v>
      </c>
      <c r="B8" s="24" t="s">
        <v>1298</v>
      </c>
      <c r="C8" s="82">
        <v>30.0</v>
      </c>
      <c r="D8" s="82">
        <v>10.0</v>
      </c>
      <c r="E8" s="82">
        <v>20.0</v>
      </c>
      <c r="G8" s="83"/>
      <c r="H8" s="83"/>
      <c r="I8" s="83"/>
      <c r="J8" s="83"/>
      <c r="K8" s="84"/>
      <c r="L8" s="85"/>
      <c r="M8" s="83"/>
      <c r="N8" s="85"/>
      <c r="O8" s="85"/>
      <c r="P8" s="83"/>
      <c r="Q8" s="83"/>
      <c r="R8" s="83">
        <v>2.0</v>
      </c>
      <c r="S8" s="33" t="s">
        <v>1298</v>
      </c>
      <c r="T8" s="83">
        <v>40.0</v>
      </c>
      <c r="U8" s="83"/>
      <c r="V8" s="83"/>
      <c r="W8" s="83">
        <v>2.0</v>
      </c>
      <c r="X8" s="33" t="s">
        <v>1298</v>
      </c>
      <c r="Y8" s="83">
        <v>50.0</v>
      </c>
      <c r="Z8" s="83"/>
      <c r="AA8" s="83"/>
      <c r="AB8" s="83">
        <v>2.0</v>
      </c>
      <c r="AC8" s="33" t="s">
        <v>1298</v>
      </c>
      <c r="AD8" s="83">
        <v>30.0</v>
      </c>
      <c r="AE8" s="83">
        <v>10.0</v>
      </c>
      <c r="AF8" s="83">
        <v>20.0</v>
      </c>
      <c r="AG8" s="83"/>
      <c r="AH8" s="83">
        <v>2.0</v>
      </c>
      <c r="AI8" s="33" t="s">
        <v>1298</v>
      </c>
      <c r="AJ8" s="83">
        <v>20.0</v>
      </c>
      <c r="AK8" s="83">
        <v>20.0</v>
      </c>
      <c r="AL8" s="83">
        <v>0.0</v>
      </c>
    </row>
    <row r="9" ht="15.75" customHeight="1">
      <c r="A9" s="82">
        <v>3.0</v>
      </c>
      <c r="B9" s="24" t="s">
        <v>1299</v>
      </c>
      <c r="C9" s="82">
        <v>20.0</v>
      </c>
      <c r="D9" s="82">
        <v>10.0</v>
      </c>
      <c r="E9" s="82">
        <v>10.0</v>
      </c>
      <c r="G9" s="83"/>
      <c r="H9" s="83"/>
      <c r="I9" s="83"/>
      <c r="J9" s="83"/>
      <c r="K9" s="84"/>
      <c r="L9" s="85"/>
      <c r="M9" s="83"/>
      <c r="N9" s="84"/>
      <c r="O9" s="85"/>
      <c r="P9" s="83"/>
      <c r="Q9" s="83"/>
      <c r="R9" s="83">
        <v>3.0</v>
      </c>
      <c r="S9" s="33" t="s">
        <v>1300</v>
      </c>
      <c r="T9" s="86">
        <v>10.0</v>
      </c>
      <c r="U9" s="83"/>
      <c r="V9" s="83"/>
      <c r="W9" s="83">
        <v>3.0</v>
      </c>
      <c r="X9" s="33" t="s">
        <v>1300</v>
      </c>
      <c r="Y9" s="86">
        <v>10.0</v>
      </c>
      <c r="Z9" s="83"/>
      <c r="AA9" s="83"/>
      <c r="AB9" s="83">
        <v>3.0</v>
      </c>
      <c r="AC9" s="33" t="s">
        <v>1300</v>
      </c>
      <c r="AD9" s="83">
        <v>20.0</v>
      </c>
      <c r="AE9" s="83">
        <v>10.0</v>
      </c>
      <c r="AF9" s="83">
        <v>10.0</v>
      </c>
      <c r="AG9" s="83"/>
      <c r="AH9" s="83">
        <v>3.0</v>
      </c>
      <c r="AI9" s="33" t="s">
        <v>1299</v>
      </c>
      <c r="AJ9" s="83">
        <v>20.0</v>
      </c>
      <c r="AK9" s="83">
        <v>10.0</v>
      </c>
      <c r="AL9" s="83">
        <v>10.0</v>
      </c>
    </row>
    <row r="10" ht="15.75" customHeight="1">
      <c r="A10" s="82">
        <v>4.0</v>
      </c>
      <c r="B10" s="24" t="s">
        <v>1301</v>
      </c>
      <c r="C10" s="82">
        <v>20.0</v>
      </c>
      <c r="D10" s="82">
        <v>10.0</v>
      </c>
      <c r="E10" s="82">
        <v>10.0</v>
      </c>
      <c r="G10" s="83"/>
      <c r="H10" s="83"/>
      <c r="I10" s="83"/>
      <c r="J10" s="83"/>
      <c r="K10" s="83"/>
      <c r="L10" s="84"/>
      <c r="M10" s="84"/>
      <c r="N10" s="84"/>
      <c r="O10" s="85"/>
      <c r="P10" s="83"/>
      <c r="Q10" s="83"/>
      <c r="R10" s="83">
        <v>4.0</v>
      </c>
      <c r="S10" s="33" t="s">
        <v>1302</v>
      </c>
      <c r="T10" s="83">
        <v>5.0</v>
      </c>
      <c r="U10" s="83"/>
      <c r="V10" s="83"/>
      <c r="W10" s="83">
        <v>4.0</v>
      </c>
      <c r="X10" s="33" t="s">
        <v>1302</v>
      </c>
      <c r="Y10" s="83">
        <v>5.0</v>
      </c>
      <c r="Z10" s="83"/>
      <c r="AA10" s="83"/>
      <c r="AB10" s="83">
        <v>4.0</v>
      </c>
      <c r="AC10" s="33" t="s">
        <v>1302</v>
      </c>
      <c r="AD10" s="83">
        <v>5.0</v>
      </c>
      <c r="AE10" s="83">
        <v>5.0</v>
      </c>
      <c r="AF10" s="83">
        <v>0.0</v>
      </c>
      <c r="AG10" s="83"/>
      <c r="AH10" s="83">
        <v>4.0</v>
      </c>
      <c r="AI10" s="33" t="s">
        <v>1303</v>
      </c>
      <c r="AJ10" s="83">
        <v>20.0</v>
      </c>
      <c r="AK10" s="83">
        <v>10.0</v>
      </c>
      <c r="AL10" s="83">
        <v>10.0</v>
      </c>
    </row>
    <row r="11" ht="15.75" customHeight="1">
      <c r="A11" s="82">
        <v>5.0</v>
      </c>
      <c r="B11" s="87" t="s">
        <v>1304</v>
      </c>
      <c r="C11" s="88">
        <v>10.0</v>
      </c>
      <c r="D11" s="88">
        <v>0.0</v>
      </c>
      <c r="E11" s="88">
        <v>10.0</v>
      </c>
      <c r="F11" s="3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>
        <v>5.0</v>
      </c>
      <c r="S11" s="87" t="s">
        <v>1305</v>
      </c>
      <c r="T11" s="83">
        <v>10.0</v>
      </c>
      <c r="U11" s="83"/>
      <c r="V11" s="83"/>
      <c r="W11" s="83">
        <v>5.0</v>
      </c>
      <c r="X11" s="87" t="s">
        <v>1305</v>
      </c>
      <c r="Y11" s="83">
        <v>10.0</v>
      </c>
      <c r="Z11" s="83"/>
      <c r="AA11" s="83"/>
      <c r="AB11" s="83">
        <v>5.0</v>
      </c>
      <c r="AC11" s="33" t="s">
        <v>1306</v>
      </c>
      <c r="AD11" s="83">
        <v>10.0</v>
      </c>
      <c r="AE11" s="83">
        <v>10.0</v>
      </c>
      <c r="AF11" s="83">
        <v>0.0</v>
      </c>
      <c r="AG11" s="83"/>
      <c r="AH11" s="83">
        <v>5.0</v>
      </c>
      <c r="AI11" s="33" t="s">
        <v>1307</v>
      </c>
      <c r="AJ11" s="83">
        <v>10.0</v>
      </c>
      <c r="AK11" s="83">
        <v>10.0</v>
      </c>
      <c r="AL11" s="83">
        <v>0.0</v>
      </c>
    </row>
    <row r="12" ht="15.75" customHeight="1">
      <c r="A12" s="82">
        <v>6.0</v>
      </c>
      <c r="B12" s="24" t="s">
        <v>1307</v>
      </c>
      <c r="C12" s="82">
        <v>10.0</v>
      </c>
      <c r="D12" s="82">
        <v>10.0</v>
      </c>
      <c r="E12" s="82">
        <v>0.0</v>
      </c>
      <c r="F12" s="3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>
        <v>6.0</v>
      </c>
      <c r="S12" s="87" t="s">
        <v>1299</v>
      </c>
      <c r="T12" s="83">
        <v>20.0</v>
      </c>
      <c r="U12" s="83"/>
      <c r="V12" s="83"/>
      <c r="W12" s="83">
        <v>6.0</v>
      </c>
      <c r="X12" s="87" t="s">
        <v>1299</v>
      </c>
      <c r="Y12" s="83">
        <v>20.0</v>
      </c>
      <c r="Z12" s="83"/>
      <c r="AA12" s="83"/>
      <c r="AB12" s="83">
        <v>6.0</v>
      </c>
      <c r="AC12" s="33" t="s">
        <v>1299</v>
      </c>
      <c r="AD12" s="83">
        <v>20.0</v>
      </c>
      <c r="AE12" s="83">
        <v>10.0</v>
      </c>
      <c r="AF12" s="83">
        <v>10.0</v>
      </c>
      <c r="AG12" s="83"/>
      <c r="AH12" s="83">
        <v>6.0</v>
      </c>
      <c r="AI12" s="33" t="s">
        <v>1308</v>
      </c>
      <c r="AJ12" s="83">
        <v>10.0</v>
      </c>
      <c r="AK12" s="83">
        <v>10.0</v>
      </c>
      <c r="AL12" s="83">
        <v>0.0</v>
      </c>
    </row>
    <row r="13" ht="15.75" customHeight="1">
      <c r="A13" s="82">
        <v>7.0</v>
      </c>
      <c r="B13" s="24" t="s">
        <v>1308</v>
      </c>
      <c r="C13" s="82">
        <v>10.0</v>
      </c>
      <c r="D13" s="82">
        <v>10.0</v>
      </c>
      <c r="E13" s="82">
        <v>0.0</v>
      </c>
      <c r="F13" s="3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>
        <v>7.0</v>
      </c>
      <c r="S13" s="87" t="s">
        <v>1303</v>
      </c>
      <c r="T13" s="83">
        <v>10.0</v>
      </c>
      <c r="U13" s="83"/>
      <c r="V13" s="83"/>
      <c r="W13" s="83">
        <v>7.0</v>
      </c>
      <c r="X13" s="87" t="s">
        <v>1303</v>
      </c>
      <c r="Y13" s="83">
        <v>20.0</v>
      </c>
      <c r="Z13" s="83"/>
      <c r="AA13" s="83"/>
      <c r="AB13" s="83">
        <v>7.0</v>
      </c>
      <c r="AC13" s="33" t="s">
        <v>1303</v>
      </c>
      <c r="AD13" s="83">
        <v>20.0</v>
      </c>
      <c r="AE13" s="83">
        <v>10.0</v>
      </c>
      <c r="AF13" s="83">
        <v>10.0</v>
      </c>
      <c r="AG13" s="83"/>
      <c r="AH13" s="83">
        <v>7.0</v>
      </c>
      <c r="AI13" s="33" t="s">
        <v>1309</v>
      </c>
      <c r="AJ13" s="83">
        <v>5.0</v>
      </c>
      <c r="AK13" s="83">
        <v>5.0</v>
      </c>
      <c r="AL13" s="83">
        <v>0.0</v>
      </c>
    </row>
    <row r="14" ht="15.75" customHeight="1">
      <c r="A14" s="82">
        <v>8.0</v>
      </c>
      <c r="B14" s="24" t="s">
        <v>1309</v>
      </c>
      <c r="C14" s="82">
        <v>5.0</v>
      </c>
      <c r="D14" s="82">
        <v>5.0</v>
      </c>
      <c r="E14" s="82">
        <v>0.0</v>
      </c>
      <c r="F14" s="3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83"/>
      <c r="S14" s="33"/>
      <c r="T14" s="83"/>
      <c r="U14" s="47"/>
      <c r="V14" s="47"/>
      <c r="W14" s="83"/>
      <c r="X14" s="33"/>
      <c r="Y14" s="83"/>
      <c r="Z14" s="47"/>
      <c r="AA14" s="47"/>
      <c r="AB14" s="83"/>
      <c r="AC14" s="33"/>
      <c r="AD14" s="83"/>
      <c r="AE14" s="83"/>
      <c r="AF14" s="83"/>
      <c r="AG14" s="47"/>
      <c r="AH14" s="83">
        <v>8.0</v>
      </c>
      <c r="AI14" s="33" t="s">
        <v>1310</v>
      </c>
      <c r="AJ14" s="83">
        <v>20.0</v>
      </c>
      <c r="AK14" s="83">
        <v>10.0</v>
      </c>
      <c r="AL14" s="83">
        <v>10.0</v>
      </c>
    </row>
    <row r="15" ht="15.75" customHeight="1">
      <c r="A15" s="82">
        <v>9.0</v>
      </c>
      <c r="B15" s="33" t="s">
        <v>1311</v>
      </c>
      <c r="C15" s="82">
        <v>30.0</v>
      </c>
      <c r="D15" s="82">
        <v>10.0</v>
      </c>
      <c r="E15" s="82">
        <v>20.0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83"/>
      <c r="S15" s="33"/>
      <c r="T15" s="86"/>
      <c r="U15" s="47"/>
      <c r="V15" s="47"/>
      <c r="W15" s="83"/>
      <c r="X15" s="33"/>
      <c r="Y15" s="86"/>
      <c r="Z15" s="47"/>
      <c r="AA15" s="47"/>
      <c r="AB15" s="83"/>
      <c r="AC15" s="33"/>
      <c r="AD15" s="83"/>
      <c r="AE15" s="83"/>
      <c r="AF15" s="83"/>
      <c r="AG15" s="47"/>
      <c r="AH15" s="83">
        <v>9.0</v>
      </c>
      <c r="AI15" s="33" t="s">
        <v>1306</v>
      </c>
      <c r="AJ15" s="83">
        <v>10.0</v>
      </c>
      <c r="AK15" s="83">
        <v>10.0</v>
      </c>
      <c r="AL15" s="83">
        <v>0.0</v>
      </c>
    </row>
    <row r="16" ht="15.75" customHeight="1">
      <c r="A16" s="82">
        <v>10.0</v>
      </c>
      <c r="B16" s="24" t="s">
        <v>1312</v>
      </c>
      <c r="C16" s="88">
        <v>10.0</v>
      </c>
      <c r="D16" s="82">
        <v>10.0</v>
      </c>
      <c r="E16" s="82">
        <v>0.0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83">
        <v>10.0</v>
      </c>
      <c r="S16" s="87" t="s">
        <v>1311</v>
      </c>
      <c r="T16" s="86">
        <v>20.0</v>
      </c>
      <c r="U16" s="47"/>
      <c r="V16" s="47"/>
      <c r="W16" s="83">
        <v>10.0</v>
      </c>
      <c r="X16" s="87" t="s">
        <v>1311</v>
      </c>
      <c r="Y16" s="86">
        <v>20.0</v>
      </c>
      <c r="Z16" s="47"/>
      <c r="AA16" s="47"/>
      <c r="AB16" s="83">
        <v>10.0</v>
      </c>
      <c r="AC16" s="33" t="s">
        <v>1311</v>
      </c>
      <c r="AD16" s="83">
        <v>30.0</v>
      </c>
      <c r="AE16" s="83">
        <v>10.0</v>
      </c>
      <c r="AF16" s="83">
        <v>20.0</v>
      </c>
      <c r="AG16" s="47"/>
      <c r="AJ16" s="89">
        <f>SUM(AJ7:AJ15)</f>
        <v>215</v>
      </c>
    </row>
    <row r="17" ht="15.75" customHeight="1">
      <c r="C17" s="90">
        <f>SUM(C7:C16)</f>
        <v>295</v>
      </c>
      <c r="R17" s="83">
        <v>11.0</v>
      </c>
      <c r="S17" s="87" t="s">
        <v>1313</v>
      </c>
      <c r="T17" s="83">
        <v>10.0</v>
      </c>
      <c r="W17" s="83">
        <v>11.0</v>
      </c>
      <c r="X17" s="87" t="s">
        <v>1314</v>
      </c>
      <c r="Y17" s="83">
        <v>5.0</v>
      </c>
      <c r="AB17" s="83">
        <v>11.0</v>
      </c>
      <c r="AC17" s="33" t="s">
        <v>1308</v>
      </c>
      <c r="AD17" s="83">
        <v>5.0</v>
      </c>
      <c r="AE17" s="83">
        <v>5.0</v>
      </c>
      <c r="AF17" s="83">
        <v>0.0</v>
      </c>
    </row>
    <row r="18" ht="15.75" customHeight="1">
      <c r="A18" s="74"/>
      <c r="E18" s="74"/>
      <c r="J18" s="74"/>
      <c r="R18" s="83">
        <v>12.0</v>
      </c>
      <c r="S18" s="33" t="s">
        <v>1315</v>
      </c>
      <c r="T18" s="83">
        <v>10.0</v>
      </c>
      <c r="W18" s="83">
        <v>12.0</v>
      </c>
      <c r="X18" s="33" t="s">
        <v>1316</v>
      </c>
      <c r="Y18" s="83">
        <v>5.0</v>
      </c>
      <c r="AB18" s="33"/>
      <c r="AC18" s="33"/>
      <c r="AD18" s="33"/>
      <c r="AE18" s="33"/>
      <c r="AF18" s="33"/>
    </row>
    <row r="19" ht="15.75" customHeight="1">
      <c r="A19" s="76"/>
      <c r="E19" s="76"/>
      <c r="J19" s="76"/>
      <c r="R19" s="83">
        <v>13.0</v>
      </c>
      <c r="S19" s="33" t="s">
        <v>1306</v>
      </c>
      <c r="T19" s="83">
        <v>10.0</v>
      </c>
      <c r="W19" s="83"/>
      <c r="Y19" s="89">
        <f>SUM(Y7:Y18)</f>
        <v>215</v>
      </c>
      <c r="AB19" s="33"/>
      <c r="AC19" s="33"/>
      <c r="AD19" s="89">
        <f>SUM(AD7:AD18)</f>
        <v>240</v>
      </c>
      <c r="AE19" s="33"/>
      <c r="AF19" s="33"/>
    </row>
    <row r="20" ht="15.75" customHeight="1">
      <c r="A20" s="80"/>
      <c r="B20" s="80"/>
      <c r="C20" s="80"/>
      <c r="E20" s="80"/>
      <c r="F20" s="80"/>
      <c r="G20" s="80"/>
      <c r="J20" s="80"/>
      <c r="K20" s="80"/>
      <c r="L20" s="80"/>
      <c r="R20" s="33"/>
      <c r="S20" s="33"/>
      <c r="T20" s="89">
        <f>SUM(T5:T19)</f>
        <v>245</v>
      </c>
      <c r="W20" s="33"/>
      <c r="X20" s="33"/>
      <c r="AB20" s="33"/>
      <c r="AC20" s="33"/>
      <c r="AD20" s="33"/>
      <c r="AE20" s="33"/>
      <c r="AF20" s="33"/>
    </row>
    <row r="21" ht="15.75" customHeight="1">
      <c r="A21" s="83"/>
      <c r="B21" s="33"/>
      <c r="C21" s="83"/>
      <c r="E21" s="83"/>
      <c r="F21" s="33"/>
      <c r="G21" s="83"/>
      <c r="J21" s="83"/>
      <c r="K21" s="33"/>
      <c r="L21" s="86"/>
    </row>
    <row r="22" ht="15.75" customHeight="1">
      <c r="A22" s="83"/>
      <c r="B22" s="33"/>
      <c r="C22" s="83"/>
      <c r="E22" s="83"/>
      <c r="F22" s="33"/>
      <c r="G22" s="83"/>
      <c r="J22" s="83"/>
      <c r="K22" s="33"/>
      <c r="L22" s="86"/>
    </row>
    <row r="23" ht="15.75" customHeight="1">
      <c r="A23" s="83"/>
      <c r="C23" s="83"/>
      <c r="E23" s="83"/>
      <c r="G23" s="83"/>
      <c r="J23" s="83"/>
      <c r="K23" s="33"/>
      <c r="L23" s="86"/>
      <c r="R23" s="74" t="s">
        <v>1290</v>
      </c>
      <c r="W23" s="74" t="s">
        <v>1290</v>
      </c>
      <c r="AB23" s="74" t="s">
        <v>1317</v>
      </c>
    </row>
    <row r="24" ht="15.75" customHeight="1">
      <c r="A24" s="83"/>
      <c r="C24" s="83"/>
      <c r="J24" s="83"/>
      <c r="K24" s="33"/>
      <c r="L24" s="86"/>
      <c r="R24" s="75" t="s">
        <v>1318</v>
      </c>
      <c r="W24" s="75" t="s">
        <v>1319</v>
      </c>
      <c r="AB24" s="75" t="s">
        <v>1320</v>
      </c>
    </row>
    <row r="25" ht="15.75" customHeight="1">
      <c r="A25" s="83"/>
      <c r="B25" s="33"/>
      <c r="C25" s="83"/>
      <c r="J25" s="83"/>
      <c r="K25" s="33"/>
      <c r="L25" s="86"/>
      <c r="R25" s="80" t="s">
        <v>1266</v>
      </c>
      <c r="S25" s="80" t="s">
        <v>1294</v>
      </c>
      <c r="T25" s="80" t="s">
        <v>8</v>
      </c>
      <c r="W25" s="80" t="s">
        <v>1266</v>
      </c>
      <c r="X25" s="80" t="s">
        <v>1294</v>
      </c>
      <c r="Y25" s="80" t="s">
        <v>8</v>
      </c>
      <c r="AB25" s="80" t="s">
        <v>1266</v>
      </c>
      <c r="AC25" s="80" t="s">
        <v>1294</v>
      </c>
      <c r="AD25" s="80" t="s">
        <v>8</v>
      </c>
    </row>
    <row r="26" ht="15.75" customHeight="1">
      <c r="A26" s="83"/>
      <c r="B26" s="33"/>
      <c r="C26" s="83"/>
      <c r="J26" s="83"/>
      <c r="K26" s="33"/>
      <c r="L26" s="86"/>
      <c r="R26" s="83">
        <v>1.0</v>
      </c>
      <c r="S26" s="33" t="s">
        <v>1297</v>
      </c>
      <c r="T26" s="86">
        <v>100.0</v>
      </c>
      <c r="W26" s="83">
        <v>1.0</v>
      </c>
      <c r="X26" s="33" t="s">
        <v>1297</v>
      </c>
      <c r="Y26" s="86">
        <v>150.0</v>
      </c>
      <c r="AB26" s="83">
        <v>1.0</v>
      </c>
      <c r="AC26" s="33" t="s">
        <v>1302</v>
      </c>
      <c r="AD26" s="83">
        <v>25.0</v>
      </c>
    </row>
    <row r="27" ht="15.75" customHeight="1">
      <c r="A27" s="83"/>
      <c r="B27" s="33"/>
      <c r="C27" s="83"/>
      <c r="J27" s="83"/>
      <c r="L27" s="86"/>
      <c r="R27" s="83">
        <v>2.0</v>
      </c>
      <c r="S27" s="33" t="s">
        <v>1298</v>
      </c>
      <c r="T27" s="83">
        <v>40.0</v>
      </c>
      <c r="W27" s="83">
        <v>2.0</v>
      </c>
      <c r="X27" s="33" t="s">
        <v>1298</v>
      </c>
      <c r="Y27" s="83">
        <v>30.0</v>
      </c>
      <c r="AB27" s="83">
        <v>2.0</v>
      </c>
      <c r="AC27" s="33" t="s">
        <v>1300</v>
      </c>
      <c r="AD27" s="83">
        <v>70.0</v>
      </c>
    </row>
    <row r="28" ht="15.75" customHeight="1">
      <c r="A28" s="83"/>
      <c r="B28" s="33"/>
      <c r="C28" s="47"/>
      <c r="J28" s="83"/>
      <c r="L28" s="86"/>
      <c r="R28" s="83">
        <v>3.0</v>
      </c>
      <c r="S28" s="33" t="s">
        <v>1300</v>
      </c>
      <c r="T28" s="86">
        <v>5.0</v>
      </c>
      <c r="W28" s="83">
        <v>3.0</v>
      </c>
      <c r="X28" s="87" t="s">
        <v>1305</v>
      </c>
      <c r="Y28" s="86">
        <v>20.0</v>
      </c>
      <c r="AB28" s="83">
        <v>3.0</v>
      </c>
      <c r="AC28" s="33" t="s">
        <v>1312</v>
      </c>
      <c r="AD28" s="83">
        <v>20.0</v>
      </c>
    </row>
    <row r="29" ht="15.75" customHeight="1">
      <c r="A29" s="74"/>
      <c r="J29" s="83"/>
      <c r="L29" s="86"/>
      <c r="R29" s="83">
        <v>4.0</v>
      </c>
      <c r="S29" s="33" t="s">
        <v>1302</v>
      </c>
      <c r="T29" s="83">
        <v>5.0</v>
      </c>
      <c r="W29" s="83">
        <v>4.0</v>
      </c>
      <c r="X29" s="33" t="s">
        <v>1301</v>
      </c>
      <c r="Y29" s="83">
        <v>10.0</v>
      </c>
      <c r="AB29" s="83">
        <v>4.0</v>
      </c>
      <c r="AC29" s="33" t="s">
        <v>1311</v>
      </c>
      <c r="AD29" s="83">
        <v>20.0</v>
      </c>
    </row>
    <row r="30" ht="15.75" customHeight="1">
      <c r="A30" s="75"/>
      <c r="J30" s="83"/>
      <c r="K30" s="33"/>
      <c r="L30" s="86"/>
      <c r="R30" s="83">
        <v>5.0</v>
      </c>
      <c r="S30" s="87" t="s">
        <v>1305</v>
      </c>
      <c r="T30" s="83">
        <v>10.0</v>
      </c>
      <c r="W30" s="83">
        <v>5.0</v>
      </c>
      <c r="X30" s="33" t="s">
        <v>1304</v>
      </c>
      <c r="Y30" s="83">
        <v>10.0</v>
      </c>
      <c r="AB30" s="83">
        <v>5.0</v>
      </c>
      <c r="AC30" s="33" t="s">
        <v>1299</v>
      </c>
      <c r="AD30" s="83">
        <v>10.0</v>
      </c>
    </row>
    <row r="31" ht="15.75" customHeight="1">
      <c r="A31" s="80"/>
      <c r="B31" s="80"/>
      <c r="C31" s="80"/>
      <c r="J31" s="83"/>
      <c r="K31" s="33"/>
      <c r="L31" s="86"/>
      <c r="R31" s="83">
        <v>6.0</v>
      </c>
      <c r="S31" s="87" t="s">
        <v>1299</v>
      </c>
      <c r="T31" s="83">
        <v>20.0</v>
      </c>
      <c r="W31" s="83">
        <v>6.0</v>
      </c>
      <c r="X31" s="87" t="s">
        <v>1311</v>
      </c>
      <c r="Y31" s="83">
        <v>20.0</v>
      </c>
      <c r="AB31" s="83">
        <v>6.0</v>
      </c>
      <c r="AC31" s="33" t="s">
        <v>1305</v>
      </c>
      <c r="AD31" s="83">
        <v>10.0</v>
      </c>
    </row>
    <row r="32" ht="15.75" customHeight="1">
      <c r="A32" s="83"/>
      <c r="B32" s="33"/>
      <c r="C32" s="83"/>
      <c r="R32" s="83">
        <v>7.0</v>
      </c>
      <c r="S32" s="87" t="s">
        <v>1303</v>
      </c>
      <c r="T32" s="83">
        <v>10.0</v>
      </c>
      <c r="W32" s="83">
        <v>7.0</v>
      </c>
      <c r="X32" s="87" t="s">
        <v>1306</v>
      </c>
      <c r="Y32" s="83">
        <v>10.0</v>
      </c>
      <c r="AB32" s="83"/>
      <c r="AC32" s="33"/>
    </row>
    <row r="33" ht="15.75" customHeight="1">
      <c r="A33" s="83"/>
      <c r="B33" s="33"/>
      <c r="C33" s="83"/>
      <c r="R33" s="83">
        <v>8.0</v>
      </c>
      <c r="S33" s="33" t="s">
        <v>1301</v>
      </c>
      <c r="T33" s="83">
        <v>10.0</v>
      </c>
      <c r="W33" s="83"/>
      <c r="Y33" s="89">
        <f>SUM(Y26:Y32)</f>
        <v>250</v>
      </c>
      <c r="AB33" s="83"/>
      <c r="AC33" s="33"/>
      <c r="AD33" s="83"/>
    </row>
    <row r="34" ht="15.75" customHeight="1">
      <c r="A34" s="83"/>
      <c r="C34" s="83"/>
      <c r="J34" s="74"/>
      <c r="R34" s="83">
        <v>9.0</v>
      </c>
      <c r="S34" s="33" t="s">
        <v>1304</v>
      </c>
      <c r="T34" s="86">
        <v>10.0</v>
      </c>
      <c r="W34" s="83"/>
      <c r="Y34" s="86"/>
      <c r="AB34" s="83"/>
      <c r="AC34" s="33"/>
      <c r="AD34" s="83"/>
    </row>
    <row r="35" ht="15.75" customHeight="1">
      <c r="A35" s="83"/>
      <c r="C35" s="83"/>
      <c r="J35" s="75"/>
      <c r="R35" s="83">
        <v>10.0</v>
      </c>
      <c r="S35" s="87" t="s">
        <v>1311</v>
      </c>
      <c r="T35" s="86">
        <v>20.0</v>
      </c>
      <c r="W35" s="83"/>
      <c r="Y35" s="86"/>
      <c r="AB35" s="83"/>
      <c r="AC35" s="33"/>
      <c r="AD35" s="89">
        <f>SUM(AD26:AD31)</f>
        <v>155</v>
      </c>
    </row>
    <row r="36" ht="15.75" customHeight="1">
      <c r="A36" s="83"/>
      <c r="C36" s="83"/>
      <c r="J36" s="80"/>
      <c r="K36" s="80"/>
      <c r="L36" s="80"/>
      <c r="R36" s="83">
        <v>11.0</v>
      </c>
      <c r="S36" s="87" t="s">
        <v>1312</v>
      </c>
      <c r="T36" s="83">
        <v>10.0</v>
      </c>
      <c r="W36" s="83"/>
      <c r="Y36" s="83"/>
      <c r="AB36" s="83"/>
      <c r="AC36" s="33"/>
      <c r="AD36" s="83"/>
    </row>
    <row r="37" ht="15.75" customHeight="1">
      <c r="A37" s="83"/>
      <c r="C37" s="83"/>
      <c r="J37" s="83"/>
      <c r="K37" s="33"/>
      <c r="L37" s="86"/>
      <c r="R37" s="83">
        <v>12.0</v>
      </c>
      <c r="S37" s="33" t="s">
        <v>1308</v>
      </c>
      <c r="T37" s="83">
        <v>5.0</v>
      </c>
      <c r="W37" s="83"/>
      <c r="Y37" s="83"/>
      <c r="AB37" s="74" t="s">
        <v>1317</v>
      </c>
    </row>
    <row r="38" ht="15.75" customHeight="1">
      <c r="A38" s="83"/>
      <c r="C38" s="83"/>
      <c r="J38" s="83"/>
      <c r="K38" s="33"/>
      <c r="L38" s="86"/>
      <c r="R38" s="83"/>
      <c r="T38" s="89">
        <f>SUM(T24:T37)</f>
        <v>245</v>
      </c>
      <c r="W38" s="83"/>
      <c r="AB38" s="74" t="s">
        <v>1321</v>
      </c>
      <c r="AC38" s="33"/>
    </row>
    <row r="39" ht="15.75" customHeight="1">
      <c r="A39" s="83"/>
      <c r="B39" s="33"/>
      <c r="C39" s="83"/>
      <c r="J39" s="83"/>
      <c r="K39" s="33"/>
      <c r="L39" s="86"/>
      <c r="R39" s="33"/>
      <c r="AB39" s="80" t="s">
        <v>1266</v>
      </c>
      <c r="AC39" s="80" t="s">
        <v>1294</v>
      </c>
      <c r="AD39" s="80" t="s">
        <v>8</v>
      </c>
    </row>
    <row r="40" ht="15.75" customHeight="1">
      <c r="A40" s="83"/>
      <c r="B40" s="33"/>
      <c r="C40" s="83"/>
      <c r="J40" s="83"/>
      <c r="K40" s="33"/>
      <c r="L40" s="86"/>
      <c r="AB40" s="83">
        <v>1.0</v>
      </c>
      <c r="AC40" s="33" t="s">
        <v>1300</v>
      </c>
      <c r="AD40" s="83">
        <v>10.0</v>
      </c>
    </row>
    <row r="41" ht="15.75" customHeight="1">
      <c r="J41" s="83"/>
      <c r="L41" s="86"/>
      <c r="R41" s="74" t="s">
        <v>1290</v>
      </c>
      <c r="AB41" s="83">
        <v>2.0</v>
      </c>
      <c r="AC41" s="33" t="s">
        <v>1308</v>
      </c>
      <c r="AD41" s="83">
        <v>10.0</v>
      </c>
    </row>
    <row r="42" ht="15.75" customHeight="1">
      <c r="J42" s="83"/>
      <c r="K42" s="33"/>
      <c r="L42" s="86"/>
      <c r="R42" s="75" t="s">
        <v>1322</v>
      </c>
      <c r="AB42" s="83">
        <v>3.0</v>
      </c>
      <c r="AC42" s="33" t="s">
        <v>1311</v>
      </c>
      <c r="AD42" s="83">
        <v>10.0</v>
      </c>
    </row>
    <row r="43" ht="15.75" customHeight="1">
      <c r="A43" s="74"/>
      <c r="E43" s="74"/>
      <c r="J43" s="83"/>
      <c r="L43" s="91"/>
      <c r="R43" s="80" t="s">
        <v>1266</v>
      </c>
      <c r="S43" s="80" t="s">
        <v>1294</v>
      </c>
      <c r="T43" s="80" t="s">
        <v>8</v>
      </c>
      <c r="V43" s="33" t="s">
        <v>1323</v>
      </c>
      <c r="AB43" s="83">
        <v>4.0</v>
      </c>
      <c r="AC43" s="33" t="s">
        <v>1303</v>
      </c>
      <c r="AD43" s="83">
        <v>10.0</v>
      </c>
    </row>
    <row r="44" ht="15.75" customHeight="1">
      <c r="A44" s="75"/>
      <c r="E44" s="75"/>
      <c r="J44" s="83"/>
      <c r="L44" s="91"/>
      <c r="R44" s="83">
        <v>1.0</v>
      </c>
      <c r="S44" s="33" t="s">
        <v>1297</v>
      </c>
      <c r="T44" s="86">
        <v>100.0</v>
      </c>
      <c r="V44" s="33" t="s">
        <v>1324</v>
      </c>
      <c r="AB44" s="83">
        <v>5.0</v>
      </c>
      <c r="AC44" s="33" t="s">
        <v>1298</v>
      </c>
      <c r="AD44" s="83">
        <v>10.0</v>
      </c>
    </row>
    <row r="45" ht="15.75" customHeight="1">
      <c r="A45" s="80"/>
      <c r="B45" s="80"/>
      <c r="C45" s="80"/>
      <c r="E45" s="80"/>
      <c r="F45" s="80"/>
      <c r="G45" s="80"/>
      <c r="J45" s="83"/>
      <c r="L45" s="86"/>
      <c r="R45" s="83">
        <v>2.0</v>
      </c>
      <c r="S45" s="33" t="s">
        <v>1298</v>
      </c>
      <c r="T45" s="83">
        <v>30.0</v>
      </c>
      <c r="V45" s="33" t="s">
        <v>1325</v>
      </c>
      <c r="AD45" s="89">
        <f>SUM(AD40:AD44)</f>
        <v>50</v>
      </c>
    </row>
    <row r="46" ht="15.75" customHeight="1">
      <c r="A46" s="83"/>
      <c r="B46" s="33"/>
      <c r="C46" s="83"/>
      <c r="E46" s="83"/>
      <c r="F46" s="33"/>
      <c r="G46" s="83"/>
      <c r="J46" s="83"/>
      <c r="L46" s="86"/>
      <c r="R46" s="83">
        <v>3.0</v>
      </c>
      <c r="S46" s="33" t="s">
        <v>1302</v>
      </c>
      <c r="T46" s="83">
        <v>5.0</v>
      </c>
      <c r="V46" s="33" t="s">
        <v>1326</v>
      </c>
    </row>
    <row r="47" ht="15.75" customHeight="1">
      <c r="A47" s="83"/>
      <c r="B47" s="33"/>
      <c r="C47" s="83"/>
      <c r="E47" s="83"/>
      <c r="F47" s="33"/>
      <c r="G47" s="83"/>
      <c r="J47" s="83"/>
      <c r="R47" s="83">
        <v>4.0</v>
      </c>
      <c r="S47" s="87" t="s">
        <v>1305</v>
      </c>
      <c r="T47" s="83">
        <v>10.0</v>
      </c>
      <c r="V47" s="33" t="s">
        <v>1327</v>
      </c>
    </row>
    <row r="48" ht="15.75" customHeight="1">
      <c r="A48" s="83"/>
      <c r="C48" s="83"/>
      <c r="E48" s="83"/>
      <c r="G48" s="83"/>
      <c r="R48" s="83">
        <v>5.0</v>
      </c>
      <c r="S48" s="87" t="s">
        <v>1299</v>
      </c>
      <c r="T48" s="83">
        <v>20.0</v>
      </c>
      <c r="V48" s="33" t="s">
        <v>1328</v>
      </c>
    </row>
    <row r="49" ht="15.75" customHeight="1">
      <c r="A49" s="83"/>
      <c r="C49" s="83"/>
      <c r="E49" s="83"/>
      <c r="G49" s="83"/>
      <c r="J49" s="74"/>
      <c r="N49" s="74"/>
      <c r="Q49" s="74"/>
      <c r="R49" s="83">
        <v>6.0</v>
      </c>
      <c r="S49" s="87" t="s">
        <v>1303</v>
      </c>
      <c r="T49" s="83">
        <v>10.0</v>
      </c>
      <c r="U49" s="74"/>
      <c r="V49" s="74" t="s">
        <v>1329</v>
      </c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</row>
    <row r="50" ht="15.75" customHeight="1">
      <c r="A50" s="83"/>
      <c r="C50" s="83"/>
      <c r="E50" s="83"/>
      <c r="G50" s="83"/>
      <c r="J50" s="75"/>
      <c r="N50" s="76"/>
      <c r="Q50" s="75"/>
      <c r="R50" s="83">
        <v>7.0</v>
      </c>
      <c r="S50" s="33" t="s">
        <v>1301</v>
      </c>
      <c r="T50" s="83">
        <v>10.0</v>
      </c>
      <c r="U50" s="75"/>
      <c r="V50" s="75" t="s">
        <v>1330</v>
      </c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</row>
    <row r="51" ht="15.75" customHeight="1">
      <c r="A51" s="83"/>
      <c r="C51" s="83"/>
      <c r="E51" s="83"/>
      <c r="G51" s="83"/>
      <c r="J51" s="80"/>
      <c r="K51" s="80"/>
      <c r="L51" s="80"/>
      <c r="N51" s="80"/>
      <c r="O51" s="80"/>
      <c r="P51" s="80" t="s">
        <v>8</v>
      </c>
      <c r="Q51" s="91"/>
      <c r="R51" s="83">
        <v>8.0</v>
      </c>
      <c r="S51" s="33" t="s">
        <v>1304</v>
      </c>
      <c r="T51" s="86">
        <v>10.0</v>
      </c>
      <c r="U51" s="91"/>
      <c r="V51" s="91" t="s">
        <v>1331</v>
      </c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92"/>
      <c r="AL51" s="92"/>
    </row>
    <row r="52" ht="15.75" customHeight="1">
      <c r="A52" s="83"/>
      <c r="C52" s="83"/>
      <c r="J52" s="83"/>
      <c r="K52" s="33"/>
      <c r="L52" s="86"/>
      <c r="N52" s="83"/>
      <c r="O52" s="33"/>
      <c r="P52" s="86">
        <v>60.0</v>
      </c>
      <c r="Q52" s="86"/>
      <c r="R52" s="83">
        <v>9.0</v>
      </c>
      <c r="S52" s="87" t="s">
        <v>1311</v>
      </c>
      <c r="T52" s="86">
        <v>20.0</v>
      </c>
      <c r="U52" s="86"/>
      <c r="V52" s="86" t="s">
        <v>1332</v>
      </c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</row>
    <row r="53" ht="15.75" customHeight="1">
      <c r="A53" s="83"/>
      <c r="B53" s="33"/>
      <c r="C53" s="83"/>
      <c r="J53" s="83"/>
      <c r="K53" s="33"/>
      <c r="L53" s="86"/>
      <c r="N53" s="83"/>
      <c r="O53" s="33"/>
      <c r="P53" s="86">
        <v>30.0</v>
      </c>
      <c r="Q53" s="86"/>
      <c r="R53" s="83">
        <v>10.0</v>
      </c>
      <c r="S53" s="87" t="s">
        <v>1333</v>
      </c>
      <c r="T53" s="83">
        <v>2.0</v>
      </c>
      <c r="U53" s="86"/>
      <c r="V53" s="86" t="s">
        <v>1334</v>
      </c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</row>
    <row r="54" ht="15.75" customHeight="1">
      <c r="A54" s="83"/>
      <c r="C54" s="83"/>
      <c r="J54" s="83"/>
      <c r="K54" s="33"/>
      <c r="L54" s="86"/>
      <c r="N54" s="83"/>
      <c r="O54" s="33"/>
      <c r="P54" s="86">
        <v>5.0</v>
      </c>
      <c r="Q54" s="86"/>
      <c r="R54" s="83">
        <v>11.0</v>
      </c>
      <c r="S54" s="33" t="s">
        <v>1308</v>
      </c>
      <c r="T54" s="83">
        <v>10.0</v>
      </c>
      <c r="U54" s="86"/>
      <c r="V54" s="86" t="s">
        <v>1335</v>
      </c>
      <c r="W54" s="86"/>
      <c r="X54" s="86"/>
      <c r="Y54" s="86"/>
      <c r="Z54" s="86"/>
      <c r="AA54" s="86"/>
      <c r="AB54" s="74" t="s">
        <v>1290</v>
      </c>
      <c r="AE54" s="33"/>
      <c r="AF54" s="33"/>
      <c r="AG54" s="86"/>
      <c r="AH54" s="86"/>
      <c r="AI54" s="86"/>
      <c r="AJ54" s="86"/>
      <c r="AK54" s="86"/>
      <c r="AL54" s="86"/>
    </row>
    <row r="55" ht="15.75" customHeight="1">
      <c r="J55" s="83"/>
      <c r="L55" s="86"/>
      <c r="N55" s="83"/>
      <c r="O55" s="33"/>
      <c r="P55" s="86">
        <v>10.0</v>
      </c>
      <c r="Q55" s="86"/>
      <c r="R55" s="83"/>
      <c r="T55" s="89">
        <f>SUM(T42:T54)</f>
        <v>227</v>
      </c>
      <c r="U55" s="86"/>
      <c r="V55" s="86" t="s">
        <v>1336</v>
      </c>
      <c r="W55" s="86"/>
      <c r="X55" s="86"/>
      <c r="Y55" s="86"/>
      <c r="Z55" s="86"/>
      <c r="AA55" s="86"/>
      <c r="AB55" s="75" t="s">
        <v>1337</v>
      </c>
      <c r="AE55" s="33"/>
      <c r="AF55" s="33"/>
      <c r="AG55" s="86"/>
      <c r="AH55" s="86"/>
      <c r="AI55" s="86"/>
      <c r="AJ55" s="86"/>
      <c r="AK55" s="86"/>
      <c r="AL55" s="86"/>
    </row>
    <row r="56" ht="15.75" customHeight="1">
      <c r="A56" s="74"/>
      <c r="J56" s="83"/>
      <c r="L56" s="86"/>
      <c r="N56" s="83"/>
      <c r="P56" s="86">
        <v>10.0</v>
      </c>
      <c r="Q56" s="86"/>
      <c r="R56" s="83"/>
      <c r="U56" s="86"/>
      <c r="V56" s="86" t="s">
        <v>1338</v>
      </c>
      <c r="W56" s="86"/>
      <c r="X56" s="86"/>
      <c r="Y56" s="86"/>
      <c r="Z56" s="86"/>
      <c r="AA56" s="86"/>
      <c r="AB56" s="80" t="s">
        <v>1266</v>
      </c>
      <c r="AC56" s="80" t="s">
        <v>1294</v>
      </c>
      <c r="AD56" s="80" t="s">
        <v>8</v>
      </c>
      <c r="AE56" s="81" t="s">
        <v>1295</v>
      </c>
      <c r="AF56" s="81" t="s">
        <v>1296</v>
      </c>
      <c r="AG56" s="86"/>
      <c r="AH56" s="86"/>
      <c r="AI56" s="86"/>
      <c r="AJ56" s="86"/>
      <c r="AK56" s="86"/>
      <c r="AL56" s="86"/>
    </row>
    <row r="57" ht="15.75" customHeight="1">
      <c r="A57" s="76"/>
      <c r="J57" s="83"/>
      <c r="L57" s="86"/>
      <c r="N57" s="83"/>
      <c r="O57" s="33"/>
      <c r="P57" s="86">
        <v>15.0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3">
        <v>1.0</v>
      </c>
      <c r="AC57" s="33" t="s">
        <v>1297</v>
      </c>
      <c r="AD57" s="83">
        <v>100.0</v>
      </c>
      <c r="AE57" s="83">
        <v>50.0</v>
      </c>
      <c r="AF57" s="83">
        <v>50.0</v>
      </c>
      <c r="AG57" s="86"/>
      <c r="AH57" s="86"/>
      <c r="AI57" s="86"/>
      <c r="AJ57" s="86"/>
      <c r="AK57" s="86"/>
      <c r="AL57" s="86"/>
    </row>
    <row r="58" ht="15.75" customHeight="1">
      <c r="A58" s="80"/>
      <c r="B58" s="80"/>
      <c r="C58" s="80"/>
      <c r="J58" s="83"/>
      <c r="K58" s="33"/>
      <c r="L58" s="86"/>
      <c r="N58" s="83"/>
      <c r="O58" s="33"/>
      <c r="P58" s="86">
        <v>10.0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3">
        <v>2.0</v>
      </c>
      <c r="AC58" s="33" t="s">
        <v>1298</v>
      </c>
      <c r="AD58" s="83">
        <v>50.0</v>
      </c>
      <c r="AE58" s="83">
        <v>10.0</v>
      </c>
      <c r="AF58" s="83">
        <v>40.0</v>
      </c>
      <c r="AG58" s="86"/>
      <c r="AH58" s="86"/>
      <c r="AI58" s="86"/>
      <c r="AJ58" s="86"/>
      <c r="AK58" s="86"/>
      <c r="AL58" s="86"/>
    </row>
    <row r="59" ht="15.75" customHeight="1">
      <c r="A59" s="83"/>
      <c r="B59" s="33"/>
      <c r="C59" s="83"/>
      <c r="J59" s="83"/>
      <c r="L59" s="91"/>
      <c r="R59" s="74" t="s">
        <v>1290</v>
      </c>
      <c r="AB59" s="83">
        <v>3.0</v>
      </c>
      <c r="AC59" s="33" t="s">
        <v>1299</v>
      </c>
      <c r="AD59" s="83">
        <v>10.0</v>
      </c>
      <c r="AE59" s="83">
        <v>10.0</v>
      </c>
      <c r="AF59" s="83">
        <v>0.0</v>
      </c>
    </row>
    <row r="60" ht="15.75" customHeight="1">
      <c r="A60" s="83"/>
      <c r="B60" s="33"/>
      <c r="C60" s="83"/>
      <c r="J60" s="83"/>
      <c r="R60" s="76">
        <v>45756.0</v>
      </c>
      <c r="AB60" s="83">
        <v>4.0</v>
      </c>
      <c r="AC60" s="33" t="s">
        <v>1303</v>
      </c>
      <c r="AD60" s="83">
        <v>10.0</v>
      </c>
      <c r="AE60" s="83">
        <v>10.0</v>
      </c>
      <c r="AF60" s="83">
        <v>0.0</v>
      </c>
    </row>
    <row r="61" ht="15.75" customHeight="1">
      <c r="A61" s="83"/>
      <c r="C61" s="83"/>
      <c r="J61" s="83"/>
      <c r="L61" s="86"/>
      <c r="R61" s="80" t="s">
        <v>1266</v>
      </c>
      <c r="S61" s="80" t="s">
        <v>1294</v>
      </c>
      <c r="T61" s="80" t="s">
        <v>8</v>
      </c>
      <c r="AB61" s="83">
        <v>5.0</v>
      </c>
      <c r="AC61" s="33" t="s">
        <v>1301</v>
      </c>
      <c r="AD61" s="83">
        <v>10.0</v>
      </c>
      <c r="AE61" s="83">
        <v>0.0</v>
      </c>
      <c r="AF61" s="83">
        <v>10.0</v>
      </c>
    </row>
    <row r="62" ht="15.75" customHeight="1">
      <c r="A62" s="83"/>
      <c r="C62" s="83"/>
      <c r="J62" s="74"/>
      <c r="N62" s="74"/>
      <c r="R62" s="83">
        <v>1.0</v>
      </c>
      <c r="S62" s="33" t="s">
        <v>1297</v>
      </c>
      <c r="T62" s="86">
        <v>100.0</v>
      </c>
      <c r="AB62" s="83">
        <v>6.0</v>
      </c>
      <c r="AC62" s="33" t="s">
        <v>1304</v>
      </c>
      <c r="AD62" s="83">
        <v>10.0</v>
      </c>
      <c r="AE62" s="83">
        <v>0.0</v>
      </c>
      <c r="AF62" s="83">
        <v>10.0</v>
      </c>
    </row>
    <row r="63" ht="15.75" customHeight="1">
      <c r="A63" s="83"/>
      <c r="C63" s="83"/>
      <c r="J63" s="75"/>
      <c r="N63" s="76"/>
      <c r="R63" s="83">
        <v>2.0</v>
      </c>
      <c r="S63" s="33" t="s">
        <v>1298</v>
      </c>
      <c r="T63" s="83">
        <v>50.0</v>
      </c>
      <c r="AB63" s="83">
        <v>7.0</v>
      </c>
      <c r="AC63" s="33" t="s">
        <v>1308</v>
      </c>
      <c r="AD63" s="83">
        <v>10.0</v>
      </c>
      <c r="AE63" s="83">
        <v>10.0</v>
      </c>
      <c r="AF63" s="83">
        <v>0.0</v>
      </c>
    </row>
    <row r="64" ht="15.75" customHeight="1">
      <c r="A64" s="74"/>
      <c r="J64" s="80"/>
      <c r="K64" s="80"/>
      <c r="L64" s="80"/>
      <c r="N64" s="80"/>
      <c r="O64" s="80"/>
      <c r="P64" s="80" t="s">
        <v>8</v>
      </c>
      <c r="R64" s="83">
        <v>3.0</v>
      </c>
      <c r="S64" s="87" t="s">
        <v>1303</v>
      </c>
      <c r="T64" s="83">
        <v>20.0</v>
      </c>
      <c r="AB64" s="83"/>
      <c r="AC64" s="33" t="s">
        <v>1309</v>
      </c>
      <c r="AD64" s="83">
        <v>5.0</v>
      </c>
      <c r="AE64" s="83">
        <v>5.0</v>
      </c>
      <c r="AF64" s="83">
        <v>0.0</v>
      </c>
    </row>
    <row r="65" ht="15.75" customHeight="1">
      <c r="A65" s="76"/>
      <c r="J65" s="83"/>
      <c r="K65" s="33"/>
      <c r="L65" s="86"/>
      <c r="N65" s="83"/>
      <c r="O65" s="33"/>
      <c r="P65" s="86">
        <v>100.0</v>
      </c>
      <c r="R65" s="83">
        <v>4.0</v>
      </c>
      <c r="S65" s="87" t="s">
        <v>1339</v>
      </c>
      <c r="T65" s="83">
        <v>5.0</v>
      </c>
      <c r="AB65" s="83"/>
      <c r="AC65" s="33"/>
      <c r="AD65" s="83"/>
      <c r="AE65" s="83"/>
      <c r="AF65" s="83"/>
    </row>
    <row r="66" ht="15.75" customHeight="1">
      <c r="A66" s="80"/>
      <c r="B66" s="80"/>
      <c r="C66" s="80"/>
      <c r="J66" s="83"/>
      <c r="K66" s="33"/>
      <c r="L66" s="83"/>
      <c r="N66" s="83"/>
      <c r="O66" s="33"/>
      <c r="P66" s="83">
        <v>40.0</v>
      </c>
      <c r="R66" s="83"/>
      <c r="T66" s="83"/>
      <c r="AB66" s="83"/>
      <c r="AC66" s="33"/>
      <c r="AD66" s="83"/>
      <c r="AE66" s="83"/>
      <c r="AF66" s="83"/>
    </row>
    <row r="67" ht="15.75" customHeight="1">
      <c r="A67" s="83"/>
      <c r="C67" s="83"/>
      <c r="J67" s="83"/>
      <c r="K67" s="33"/>
      <c r="L67" s="86"/>
      <c r="N67" s="83"/>
      <c r="O67" s="33"/>
      <c r="P67" s="86">
        <v>5.0</v>
      </c>
      <c r="R67" s="83"/>
      <c r="T67" s="83"/>
      <c r="AB67" s="83"/>
      <c r="AC67" s="33"/>
      <c r="AD67" s="83"/>
      <c r="AE67" s="83"/>
      <c r="AF67" s="83"/>
    </row>
    <row r="68" ht="15.75" customHeight="1">
      <c r="A68" s="83"/>
      <c r="B68" s="33"/>
      <c r="C68" s="83"/>
      <c r="J68" s="83"/>
      <c r="L68" s="86"/>
      <c r="N68" s="83"/>
      <c r="P68" s="86">
        <v>10.0</v>
      </c>
      <c r="R68" s="83"/>
      <c r="T68" s="83"/>
      <c r="AB68" s="33"/>
      <c r="AC68" s="33"/>
      <c r="AD68" s="33"/>
      <c r="AE68" s="33"/>
      <c r="AF68" s="33"/>
    </row>
    <row r="69" ht="15.75" customHeight="1">
      <c r="A69" s="83"/>
      <c r="B69" s="33"/>
      <c r="C69" s="83"/>
      <c r="J69" s="83"/>
      <c r="L69" s="86"/>
      <c r="N69" s="83"/>
      <c r="P69" s="86">
        <v>5.0</v>
      </c>
      <c r="R69" s="83"/>
      <c r="T69" s="86"/>
      <c r="AB69" s="33"/>
      <c r="AC69" s="33"/>
      <c r="AD69" s="89">
        <f>SUM(AD57:AD68)</f>
        <v>205</v>
      </c>
      <c r="AE69" s="33"/>
      <c r="AF69" s="33"/>
    </row>
    <row r="70" ht="15.75" customHeight="1">
      <c r="A70" s="83"/>
      <c r="B70" s="33"/>
      <c r="C70" s="83"/>
      <c r="J70" s="83"/>
      <c r="L70" s="86"/>
      <c r="N70" s="83"/>
      <c r="P70" s="91">
        <f>SUM(P65:P69)</f>
        <v>160</v>
      </c>
      <c r="R70" s="83"/>
      <c r="T70" s="86"/>
    </row>
    <row r="71" ht="15.75" customHeight="1">
      <c r="A71" s="83"/>
      <c r="C71" s="83"/>
      <c r="J71" s="83"/>
      <c r="K71" s="33"/>
      <c r="L71" s="86"/>
      <c r="N71" s="83"/>
      <c r="P71" s="86"/>
      <c r="R71" s="83"/>
      <c r="T71" s="83"/>
    </row>
    <row r="72" ht="15.75" customHeight="1">
      <c r="A72" s="83"/>
      <c r="C72" s="83"/>
      <c r="J72" s="83"/>
      <c r="L72" s="91"/>
      <c r="N72" s="83"/>
      <c r="R72" s="83"/>
      <c r="T72" s="83"/>
      <c r="AB72" s="74" t="s">
        <v>1290</v>
      </c>
      <c r="AE72" s="33"/>
      <c r="AF72" s="33"/>
    </row>
    <row r="73" ht="15.75" customHeight="1">
      <c r="A73" s="83"/>
      <c r="C73" s="83"/>
      <c r="J73" s="83"/>
      <c r="R73" s="83"/>
      <c r="T73" s="89">
        <f>SUM(T60:T72)</f>
        <v>175</v>
      </c>
      <c r="AB73" s="75" t="s">
        <v>1340</v>
      </c>
      <c r="AE73" s="33"/>
      <c r="AF73" s="33"/>
    </row>
    <row r="74" ht="15.75" customHeight="1">
      <c r="A74" s="83"/>
      <c r="B74" s="33"/>
      <c r="C74" s="83"/>
      <c r="AB74" s="80" t="s">
        <v>1266</v>
      </c>
      <c r="AC74" s="80" t="s">
        <v>1294</v>
      </c>
      <c r="AD74" s="80" t="s">
        <v>8</v>
      </c>
      <c r="AE74" s="81" t="s">
        <v>1295</v>
      </c>
      <c r="AF74" s="81" t="s">
        <v>1296</v>
      </c>
    </row>
    <row r="75" ht="15.75" customHeight="1">
      <c r="AB75" s="83">
        <v>1.0</v>
      </c>
      <c r="AC75" s="33" t="s">
        <v>1297</v>
      </c>
      <c r="AD75" s="83">
        <v>150.0</v>
      </c>
      <c r="AE75" s="83">
        <v>50.0</v>
      </c>
      <c r="AF75" s="83">
        <v>100.0</v>
      </c>
    </row>
    <row r="76" ht="15.75" customHeight="1">
      <c r="J76" s="74"/>
      <c r="N76" s="74"/>
      <c r="R76" s="74" t="s">
        <v>1317</v>
      </c>
      <c r="AB76" s="83">
        <v>2.0</v>
      </c>
      <c r="AC76" s="33" t="s">
        <v>1298</v>
      </c>
      <c r="AD76" s="83">
        <v>20.0</v>
      </c>
      <c r="AE76" s="83">
        <v>10.0</v>
      </c>
      <c r="AF76" s="83">
        <v>10.0</v>
      </c>
    </row>
    <row r="77" ht="15.75" customHeight="1">
      <c r="A77" s="74"/>
      <c r="J77" s="75"/>
      <c r="N77" s="75"/>
      <c r="R77" s="76">
        <v>45847.0</v>
      </c>
      <c r="AB77" s="83">
        <v>3.0</v>
      </c>
      <c r="AC77" s="33" t="s">
        <v>1299</v>
      </c>
      <c r="AD77" s="83">
        <v>10.0</v>
      </c>
      <c r="AE77" s="83">
        <v>10.0</v>
      </c>
      <c r="AF77" s="83">
        <v>0.0</v>
      </c>
    </row>
    <row r="78" ht="15.75" customHeight="1">
      <c r="A78" s="76"/>
      <c r="J78" s="80"/>
      <c r="K78" s="80"/>
      <c r="L78" s="80"/>
      <c r="N78" s="80"/>
      <c r="O78" s="80"/>
      <c r="P78" s="80" t="s">
        <v>8</v>
      </c>
      <c r="R78" s="80" t="s">
        <v>1266</v>
      </c>
      <c r="S78" s="80" t="s">
        <v>1294</v>
      </c>
      <c r="T78" s="80" t="s">
        <v>8</v>
      </c>
      <c r="AB78" s="83">
        <v>4.0</v>
      </c>
      <c r="AC78" s="33" t="s">
        <v>1312</v>
      </c>
      <c r="AD78" s="83">
        <v>10.0</v>
      </c>
      <c r="AE78" s="83">
        <v>10.0</v>
      </c>
      <c r="AF78" s="83">
        <v>0.0</v>
      </c>
    </row>
    <row r="79" ht="15.75" customHeight="1">
      <c r="A79" s="80"/>
      <c r="B79" s="80"/>
      <c r="C79" s="80"/>
      <c r="J79" s="83"/>
      <c r="K79" s="33"/>
      <c r="L79" s="86"/>
      <c r="N79" s="83"/>
      <c r="O79" s="33"/>
      <c r="P79" s="86">
        <v>100.0</v>
      </c>
      <c r="R79" s="83">
        <v>1.0</v>
      </c>
      <c r="S79" s="33" t="s">
        <v>1297</v>
      </c>
      <c r="T79" s="86">
        <v>60.0</v>
      </c>
      <c r="AB79" s="83">
        <v>5.0</v>
      </c>
      <c r="AC79" s="33" t="s">
        <v>1301</v>
      </c>
      <c r="AD79" s="83">
        <v>10.0</v>
      </c>
      <c r="AE79" s="83">
        <v>0.0</v>
      </c>
      <c r="AF79" s="83">
        <v>10.0</v>
      </c>
    </row>
    <row r="80" ht="15.75" customHeight="1">
      <c r="A80" s="83"/>
      <c r="B80" s="33"/>
      <c r="C80" s="83"/>
      <c r="J80" s="83"/>
      <c r="K80" s="33"/>
      <c r="L80" s="86"/>
      <c r="N80" s="83"/>
      <c r="O80" s="33"/>
      <c r="P80" s="83">
        <v>40.0</v>
      </c>
      <c r="R80" s="83">
        <v>2.0</v>
      </c>
      <c r="S80" s="33" t="s">
        <v>1298</v>
      </c>
      <c r="T80" s="83">
        <v>10.0</v>
      </c>
      <c r="AB80" s="83">
        <v>6.0</v>
      </c>
      <c r="AC80" s="33" t="s">
        <v>1307</v>
      </c>
      <c r="AD80" s="83">
        <v>10.0</v>
      </c>
      <c r="AE80" s="83">
        <v>10.0</v>
      </c>
      <c r="AF80" s="83">
        <v>0.0</v>
      </c>
    </row>
    <row r="81" ht="15.75" customHeight="1">
      <c r="A81" s="83"/>
      <c r="B81" s="33"/>
      <c r="C81" s="83"/>
      <c r="J81" s="83"/>
      <c r="L81" s="86"/>
      <c r="N81" s="83"/>
      <c r="O81" s="33"/>
      <c r="P81" s="86">
        <v>10.0</v>
      </c>
      <c r="R81" s="83">
        <v>3.0</v>
      </c>
      <c r="S81" s="33" t="s">
        <v>1302</v>
      </c>
      <c r="T81" s="83">
        <v>10.0</v>
      </c>
      <c r="AB81" s="83">
        <v>7.0</v>
      </c>
      <c r="AC81" s="33" t="s">
        <v>1308</v>
      </c>
      <c r="AD81" s="83">
        <v>10.0</v>
      </c>
      <c r="AE81" s="83">
        <v>10.0</v>
      </c>
      <c r="AF81" s="83">
        <v>0.0</v>
      </c>
    </row>
    <row r="82" ht="15.75" customHeight="1">
      <c r="A82" s="83"/>
      <c r="C82" s="83"/>
      <c r="J82" s="83"/>
      <c r="K82" s="33"/>
      <c r="L82" s="86"/>
      <c r="N82" s="83"/>
      <c r="O82" s="33"/>
      <c r="P82" s="83">
        <v>5.0</v>
      </c>
      <c r="R82" s="83">
        <v>4.0</v>
      </c>
      <c r="S82" s="33" t="s">
        <v>1308</v>
      </c>
      <c r="T82" s="83">
        <v>20.0</v>
      </c>
      <c r="AB82" s="83">
        <v>8.0</v>
      </c>
      <c r="AC82" s="33" t="s">
        <v>1309</v>
      </c>
      <c r="AD82" s="83">
        <v>5.0</v>
      </c>
      <c r="AE82" s="83">
        <v>5.0</v>
      </c>
      <c r="AF82" s="83">
        <v>0.0</v>
      </c>
    </row>
    <row r="83" ht="15.75" customHeight="1">
      <c r="A83" s="83"/>
      <c r="C83" s="83"/>
      <c r="J83" s="83"/>
      <c r="K83" s="33"/>
      <c r="L83" s="86"/>
      <c r="N83" s="83"/>
      <c r="P83" s="83">
        <v>5.0</v>
      </c>
      <c r="R83" s="83">
        <v>5.0</v>
      </c>
      <c r="S83" s="87" t="s">
        <v>1305</v>
      </c>
      <c r="T83" s="83">
        <v>10.0</v>
      </c>
      <c r="AB83" s="83"/>
      <c r="AC83" s="33"/>
      <c r="AD83" s="89">
        <f>SUM(AD75:AD82)</f>
        <v>225</v>
      </c>
      <c r="AE83" s="83"/>
      <c r="AF83" s="83"/>
    </row>
    <row r="84" ht="15.75" customHeight="1">
      <c r="A84" s="83"/>
      <c r="C84" s="83"/>
      <c r="J84" s="83"/>
      <c r="K84" s="33"/>
      <c r="L84" s="86"/>
      <c r="N84" s="83"/>
      <c r="P84" s="83">
        <v>10.0</v>
      </c>
      <c r="R84" s="83">
        <v>6.0</v>
      </c>
      <c r="S84" s="87" t="s">
        <v>1299</v>
      </c>
      <c r="T84" s="83">
        <v>20.0</v>
      </c>
      <c r="AB84" s="83"/>
      <c r="AC84" s="33"/>
      <c r="AD84" s="83"/>
      <c r="AE84" s="83"/>
      <c r="AF84" s="83"/>
    </row>
    <row r="85" ht="15.75" customHeight="1">
      <c r="A85" s="83"/>
      <c r="C85" s="83"/>
      <c r="J85" s="83"/>
      <c r="L85" s="86"/>
      <c r="N85" s="83"/>
      <c r="P85" s="83">
        <v>10.0</v>
      </c>
      <c r="R85" s="83">
        <v>7.0</v>
      </c>
      <c r="S85" s="87" t="s">
        <v>1303</v>
      </c>
      <c r="T85" s="83">
        <v>20.0</v>
      </c>
      <c r="AB85" s="83"/>
      <c r="AC85" s="33"/>
      <c r="AD85" s="83"/>
      <c r="AE85" s="83"/>
      <c r="AF85" s="83"/>
    </row>
    <row r="86" ht="15.75" customHeight="1">
      <c r="A86" s="74"/>
      <c r="J86" s="83"/>
      <c r="L86" s="86"/>
      <c r="N86" s="83"/>
      <c r="O86" s="33"/>
      <c r="P86" s="83">
        <v>10.0</v>
      </c>
      <c r="R86" s="83">
        <v>8.0</v>
      </c>
      <c r="S86" s="33" t="s">
        <v>1301</v>
      </c>
      <c r="T86" s="83">
        <v>10.0</v>
      </c>
      <c r="AB86" s="33"/>
      <c r="AC86" s="33"/>
      <c r="AD86" s="33"/>
      <c r="AE86" s="33"/>
      <c r="AF86" s="33"/>
    </row>
    <row r="87" ht="15.75" customHeight="1">
      <c r="A87" s="75"/>
      <c r="J87" s="83"/>
      <c r="L87" s="86"/>
      <c r="N87" s="83"/>
      <c r="O87" s="33"/>
      <c r="P87" s="86">
        <v>20.0</v>
      </c>
      <c r="R87" s="83">
        <v>9.0</v>
      </c>
      <c r="S87" s="33" t="s">
        <v>1304</v>
      </c>
      <c r="T87" s="86">
        <v>10.0</v>
      </c>
      <c r="AB87" s="74" t="s">
        <v>1290</v>
      </c>
      <c r="AE87" s="33"/>
      <c r="AF87" s="33"/>
    </row>
    <row r="88" ht="15.75" customHeight="1">
      <c r="A88" s="80"/>
      <c r="B88" s="80"/>
      <c r="C88" s="80"/>
      <c r="J88" s="83"/>
      <c r="L88" s="86"/>
      <c r="N88" s="83"/>
      <c r="P88" s="86"/>
      <c r="R88" s="83">
        <v>10.0</v>
      </c>
      <c r="S88" s="87" t="s">
        <v>1311</v>
      </c>
      <c r="T88" s="86">
        <v>10.0</v>
      </c>
      <c r="AB88" s="76">
        <v>45912.0</v>
      </c>
      <c r="AE88" s="33"/>
      <c r="AF88" s="33"/>
    </row>
    <row r="89" ht="15.75" customHeight="1">
      <c r="A89" s="83"/>
      <c r="B89" s="33"/>
      <c r="C89" s="83"/>
      <c r="J89" s="83"/>
      <c r="L89" s="86"/>
      <c r="N89" s="83"/>
      <c r="P89" s="91">
        <f>SUM(P79:P88)</f>
        <v>210</v>
      </c>
      <c r="R89" s="83">
        <v>11.0</v>
      </c>
      <c r="S89" s="87" t="s">
        <v>1341</v>
      </c>
      <c r="T89" s="83">
        <v>10.0</v>
      </c>
      <c r="AB89" s="80" t="s">
        <v>1266</v>
      </c>
      <c r="AC89" s="80" t="s">
        <v>1294</v>
      </c>
      <c r="AD89" s="80" t="s">
        <v>8</v>
      </c>
      <c r="AE89" s="81" t="s">
        <v>1295</v>
      </c>
      <c r="AF89" s="81" t="s">
        <v>1296</v>
      </c>
    </row>
    <row r="90" ht="15.75" customHeight="1">
      <c r="A90" s="83"/>
      <c r="B90" s="33"/>
      <c r="C90" s="83"/>
      <c r="R90" s="83">
        <v>12.0</v>
      </c>
      <c r="S90" s="33" t="s">
        <v>1312</v>
      </c>
      <c r="T90" s="83">
        <v>10.0</v>
      </c>
      <c r="AB90" s="83">
        <v>1.0</v>
      </c>
      <c r="AC90" s="33" t="s">
        <v>1297</v>
      </c>
      <c r="AD90" s="83">
        <v>150.0</v>
      </c>
      <c r="AE90" s="83">
        <v>50.0</v>
      </c>
      <c r="AF90" s="83">
        <v>100.0</v>
      </c>
    </row>
    <row r="91" ht="15.75" customHeight="1">
      <c r="A91" s="83"/>
      <c r="B91" s="33"/>
      <c r="C91" s="83"/>
      <c r="R91" s="83"/>
      <c r="T91" s="89">
        <f>SUM(T77:T90)</f>
        <v>200</v>
      </c>
      <c r="AB91" s="83">
        <v>2.0</v>
      </c>
      <c r="AC91" s="33" t="s">
        <v>1298</v>
      </c>
      <c r="AD91" s="83">
        <v>40.0</v>
      </c>
      <c r="AE91" s="83">
        <v>20.0</v>
      </c>
      <c r="AF91" s="83">
        <v>20.0</v>
      </c>
    </row>
    <row r="92" ht="15.75" customHeight="1">
      <c r="A92" s="83"/>
      <c r="C92" s="83"/>
      <c r="N92" s="74"/>
      <c r="AB92" s="83">
        <v>3.0</v>
      </c>
      <c r="AC92" s="33" t="s">
        <v>1299</v>
      </c>
      <c r="AD92" s="83">
        <v>10.0</v>
      </c>
      <c r="AE92" s="83">
        <v>10.0</v>
      </c>
      <c r="AF92" s="83">
        <v>0.0</v>
      </c>
    </row>
    <row r="93" ht="15.75" customHeight="1">
      <c r="A93" s="83"/>
      <c r="B93" s="33"/>
      <c r="C93" s="83"/>
      <c r="N93" s="75"/>
      <c r="AB93" s="83">
        <v>4.0</v>
      </c>
      <c r="AC93" s="33" t="s">
        <v>1312</v>
      </c>
      <c r="AD93" s="83">
        <v>10.0</v>
      </c>
      <c r="AE93" s="83">
        <v>10.0</v>
      </c>
      <c r="AF93" s="83">
        <v>0.0</v>
      </c>
    </row>
    <row r="94" ht="15.75" customHeight="1">
      <c r="N94" s="80"/>
      <c r="O94" s="80"/>
      <c r="P94" s="80" t="s">
        <v>8</v>
      </c>
      <c r="AB94" s="83">
        <v>5.0</v>
      </c>
      <c r="AC94" s="33" t="s">
        <v>1314</v>
      </c>
      <c r="AD94" s="83">
        <v>5.0</v>
      </c>
      <c r="AE94" s="83">
        <v>0.0</v>
      </c>
      <c r="AF94" s="83">
        <v>5.0</v>
      </c>
    </row>
    <row r="95" ht="15.75" customHeight="1">
      <c r="N95" s="83"/>
      <c r="O95" s="33"/>
      <c r="P95" s="86">
        <v>20.0</v>
      </c>
      <c r="AB95" s="83">
        <v>6.0</v>
      </c>
      <c r="AC95" s="33" t="s">
        <v>1303</v>
      </c>
      <c r="AD95" s="83">
        <v>10.0</v>
      </c>
      <c r="AE95" s="83">
        <v>10.0</v>
      </c>
      <c r="AF95" s="83">
        <v>0.0</v>
      </c>
    </row>
    <row r="96" ht="15.75" customHeight="1">
      <c r="A96" s="74"/>
      <c r="N96" s="83"/>
      <c r="O96" s="33"/>
      <c r="P96" s="83">
        <v>10.0</v>
      </c>
      <c r="AB96" s="83">
        <v>7.0</v>
      </c>
      <c r="AC96" s="33" t="s">
        <v>1311</v>
      </c>
      <c r="AD96" s="83">
        <v>50.0</v>
      </c>
      <c r="AE96" s="83">
        <v>10.0</v>
      </c>
      <c r="AF96" s="83">
        <v>40.0</v>
      </c>
    </row>
    <row r="97" ht="15.75" customHeight="1">
      <c r="A97" s="75"/>
      <c r="N97" s="83"/>
      <c r="O97" s="33"/>
      <c r="P97" s="86">
        <v>35.0</v>
      </c>
      <c r="AB97" s="83">
        <v>8.0</v>
      </c>
      <c r="AC97" s="33" t="s">
        <v>1309</v>
      </c>
      <c r="AD97" s="83">
        <v>5.0</v>
      </c>
      <c r="AE97" s="83">
        <v>5.0</v>
      </c>
      <c r="AF97" s="83">
        <v>0.0</v>
      </c>
    </row>
    <row r="98" ht="15.75" customHeight="1">
      <c r="A98" s="80"/>
      <c r="B98" s="80"/>
      <c r="C98" s="80"/>
      <c r="N98" s="83"/>
      <c r="O98" s="33"/>
      <c r="P98" s="83">
        <v>40.0</v>
      </c>
      <c r="AB98" s="83"/>
      <c r="AC98" s="33"/>
      <c r="AD98" s="89">
        <f>SUM(AD90:AD97)</f>
        <v>280</v>
      </c>
      <c r="AE98" s="83"/>
      <c r="AF98" s="83"/>
    </row>
    <row r="99" ht="15.75" customHeight="1">
      <c r="A99" s="83"/>
      <c r="B99" s="33"/>
      <c r="C99" s="83"/>
      <c r="N99" s="83"/>
      <c r="P99" s="86">
        <v>10.0</v>
      </c>
    </row>
    <row r="100" ht="15.75" customHeight="1">
      <c r="A100" s="83"/>
      <c r="B100" s="33"/>
      <c r="C100" s="83"/>
      <c r="N100" s="83"/>
      <c r="P100" s="86">
        <v>10.0</v>
      </c>
    </row>
    <row r="101" ht="15.75" customHeight="1">
      <c r="A101" s="83"/>
      <c r="B101" s="33"/>
      <c r="C101" s="83"/>
      <c r="N101" s="83"/>
      <c r="O101" s="33"/>
      <c r="P101" s="86">
        <v>10.0</v>
      </c>
    </row>
    <row r="102" ht="15.75" customHeight="1">
      <c r="A102" s="83"/>
      <c r="C102" s="83"/>
      <c r="N102" s="83"/>
      <c r="O102" s="33"/>
      <c r="P102" s="86">
        <v>20.0</v>
      </c>
    </row>
    <row r="103" ht="15.75" customHeight="1">
      <c r="A103" s="83"/>
      <c r="B103" s="33"/>
      <c r="C103" s="83"/>
      <c r="N103" s="83"/>
      <c r="P103" s="91">
        <f>SUM(P95:P102)</f>
        <v>155</v>
      </c>
      <c r="AB103" s="74" t="s">
        <v>1290</v>
      </c>
      <c r="AE103" s="33"/>
      <c r="AF103" s="33"/>
    </row>
    <row r="104" ht="15.75" customHeight="1">
      <c r="A104" s="33"/>
      <c r="B104" s="33"/>
      <c r="C104" s="83"/>
      <c r="N104" s="83"/>
      <c r="P104" s="86"/>
      <c r="AB104" s="75" t="s">
        <v>1293</v>
      </c>
      <c r="AE104" s="33"/>
      <c r="AF104" s="33"/>
    </row>
    <row r="105" ht="15.75" customHeight="1">
      <c r="N105" s="83"/>
      <c r="AB105" s="80" t="s">
        <v>1266</v>
      </c>
      <c r="AC105" s="80" t="s">
        <v>1294</v>
      </c>
      <c r="AD105" s="80" t="s">
        <v>8</v>
      </c>
      <c r="AE105" s="81" t="s">
        <v>1295</v>
      </c>
      <c r="AF105" s="81" t="s">
        <v>1296</v>
      </c>
    </row>
    <row r="106" ht="15.75" customHeight="1">
      <c r="AB106" s="83">
        <v>1.0</v>
      </c>
      <c r="AC106" s="33" t="s">
        <v>1297</v>
      </c>
      <c r="AD106" s="83">
        <v>100.0</v>
      </c>
      <c r="AE106" s="83">
        <v>40.0</v>
      </c>
      <c r="AF106" s="83">
        <v>60.0</v>
      </c>
    </row>
    <row r="107" ht="15.75" customHeight="1">
      <c r="A107" s="74"/>
      <c r="AB107" s="83">
        <v>2.0</v>
      </c>
      <c r="AC107" s="33" t="s">
        <v>1298</v>
      </c>
      <c r="AD107" s="83">
        <v>20.0</v>
      </c>
      <c r="AE107" s="83">
        <v>20.0</v>
      </c>
      <c r="AF107" s="83">
        <v>0.0</v>
      </c>
    </row>
    <row r="108" ht="15.75" customHeight="1">
      <c r="A108" s="76"/>
      <c r="AB108" s="83">
        <v>3.0</v>
      </c>
      <c r="AC108" s="33" t="s">
        <v>1299</v>
      </c>
      <c r="AD108" s="83">
        <v>20.0</v>
      </c>
      <c r="AE108" s="83">
        <v>10.0</v>
      </c>
      <c r="AF108" s="83">
        <v>10.0</v>
      </c>
    </row>
    <row r="109" ht="15.75" customHeight="1">
      <c r="A109" s="80"/>
      <c r="B109" s="80"/>
      <c r="C109" s="80"/>
      <c r="AB109" s="83">
        <v>4.0</v>
      </c>
      <c r="AC109" s="33" t="s">
        <v>1303</v>
      </c>
      <c r="AD109" s="83">
        <v>20.0</v>
      </c>
      <c r="AE109" s="83">
        <v>10.0</v>
      </c>
      <c r="AF109" s="83">
        <v>10.0</v>
      </c>
    </row>
    <row r="110" ht="15.75" customHeight="1">
      <c r="A110" s="83"/>
      <c r="B110" s="33"/>
      <c r="C110" s="83"/>
      <c r="AB110" s="83">
        <v>5.0</v>
      </c>
      <c r="AC110" s="33" t="s">
        <v>1307</v>
      </c>
      <c r="AD110" s="83">
        <v>10.0</v>
      </c>
      <c r="AE110" s="83">
        <v>10.0</v>
      </c>
      <c r="AF110" s="83">
        <v>0.0</v>
      </c>
    </row>
    <row r="111" ht="15.75" customHeight="1">
      <c r="A111" s="83"/>
      <c r="B111" s="33"/>
      <c r="C111" s="83"/>
      <c r="AB111" s="83">
        <v>6.0</v>
      </c>
      <c r="AC111" s="33" t="s">
        <v>1308</v>
      </c>
      <c r="AD111" s="83">
        <v>10.0</v>
      </c>
      <c r="AE111" s="83">
        <v>10.0</v>
      </c>
      <c r="AF111" s="83">
        <v>0.0</v>
      </c>
    </row>
    <row r="112" ht="15.75" customHeight="1">
      <c r="A112" s="83"/>
      <c r="B112" s="33"/>
      <c r="C112" s="83"/>
      <c r="AB112" s="83">
        <v>7.0</v>
      </c>
      <c r="AC112" s="33" t="s">
        <v>1309</v>
      </c>
      <c r="AD112" s="83">
        <v>5.0</v>
      </c>
      <c r="AE112" s="83">
        <v>5.0</v>
      </c>
      <c r="AF112" s="83">
        <v>0.0</v>
      </c>
    </row>
    <row r="113" ht="15.75" customHeight="1">
      <c r="A113" s="83"/>
      <c r="B113" s="33"/>
      <c r="C113" s="83"/>
      <c r="AB113" s="83">
        <v>8.0</v>
      </c>
      <c r="AC113" s="33" t="s">
        <v>1310</v>
      </c>
      <c r="AD113" s="83">
        <v>20.0</v>
      </c>
      <c r="AE113" s="83">
        <v>10.0</v>
      </c>
      <c r="AF113" s="83">
        <v>10.0</v>
      </c>
    </row>
    <row r="114" ht="15.75" customHeight="1">
      <c r="A114" s="83"/>
      <c r="B114" s="33"/>
      <c r="C114" s="83"/>
      <c r="AB114" s="83">
        <v>9.0</v>
      </c>
      <c r="AC114" s="33" t="s">
        <v>1306</v>
      </c>
      <c r="AD114" s="83">
        <v>10.0</v>
      </c>
      <c r="AE114" s="83">
        <v>10.0</v>
      </c>
      <c r="AF114" s="83">
        <v>0.0</v>
      </c>
    </row>
    <row r="115" ht="15.75" customHeight="1">
      <c r="A115" s="83"/>
      <c r="C115" s="83"/>
      <c r="AD115" s="89">
        <f>SUM(AD106:AD114)</f>
        <v>215</v>
      </c>
    </row>
    <row r="116" ht="15.75" customHeight="1">
      <c r="A116" s="83"/>
      <c r="C116" s="83"/>
    </row>
    <row r="117" ht="15.75" customHeight="1">
      <c r="A117" s="83"/>
      <c r="B117" s="33"/>
      <c r="C117" s="83"/>
    </row>
    <row r="118" ht="15.75" customHeight="1"/>
    <row r="119" ht="15.75" customHeight="1">
      <c r="AB119" s="74" t="s">
        <v>1317</v>
      </c>
      <c r="AE119" s="33"/>
      <c r="AF119" s="33"/>
    </row>
    <row r="120" ht="15.75" customHeight="1">
      <c r="AB120" s="76">
        <v>46204.0</v>
      </c>
      <c r="AE120" s="33"/>
      <c r="AF120" s="33"/>
    </row>
    <row r="121" ht="15.75" customHeight="1">
      <c r="AB121" s="80" t="s">
        <v>1266</v>
      </c>
      <c r="AC121" s="80" t="s">
        <v>1294</v>
      </c>
      <c r="AD121" s="80" t="s">
        <v>8</v>
      </c>
      <c r="AE121" s="93"/>
      <c r="AF121" s="93"/>
    </row>
    <row r="122" ht="15.75" customHeight="1">
      <c r="AB122" s="83">
        <v>1.0</v>
      </c>
      <c r="AC122" s="33" t="s">
        <v>1297</v>
      </c>
      <c r="AD122" s="83">
        <v>70.0</v>
      </c>
      <c r="AE122" s="83"/>
      <c r="AF122" s="83"/>
    </row>
    <row r="123" ht="15.75" customHeight="1">
      <c r="AB123" s="83">
        <v>2.0</v>
      </c>
      <c r="AC123" s="33" t="s">
        <v>1298</v>
      </c>
      <c r="AD123" s="83">
        <v>30.0</v>
      </c>
      <c r="AE123" s="83"/>
      <c r="AF123" s="83"/>
    </row>
    <row r="124" ht="15.75" customHeight="1">
      <c r="AB124" s="83">
        <v>3.0</v>
      </c>
      <c r="AC124" s="33" t="s">
        <v>1299</v>
      </c>
      <c r="AD124" s="83">
        <v>20.0</v>
      </c>
      <c r="AE124" s="83"/>
      <c r="AF124" s="83"/>
    </row>
    <row r="125" ht="15.75" customHeight="1">
      <c r="AB125" s="83">
        <v>4.0</v>
      </c>
      <c r="AC125" s="33" t="s">
        <v>1303</v>
      </c>
      <c r="AD125" s="83">
        <v>10.0</v>
      </c>
      <c r="AE125" s="83"/>
      <c r="AF125" s="83"/>
    </row>
    <row r="126" ht="15.75" customHeight="1">
      <c r="AB126" s="83">
        <v>5.0</v>
      </c>
      <c r="AC126" s="33" t="s">
        <v>1308</v>
      </c>
      <c r="AD126" s="83">
        <v>10.0</v>
      </c>
      <c r="AE126" s="83"/>
      <c r="AF126" s="83"/>
    </row>
    <row r="127" ht="15.75" customHeight="1">
      <c r="AB127" s="83">
        <v>6.0</v>
      </c>
      <c r="AC127" s="33" t="s">
        <v>1310</v>
      </c>
      <c r="AD127" s="83">
        <v>15.0</v>
      </c>
      <c r="AE127" s="83"/>
      <c r="AF127" s="83"/>
    </row>
    <row r="128" ht="15.75" customHeight="1">
      <c r="AB128" s="83">
        <v>7.0</v>
      </c>
      <c r="AC128" s="33" t="s">
        <v>1311</v>
      </c>
      <c r="AD128" s="83">
        <v>25.0</v>
      </c>
      <c r="AE128" s="83"/>
      <c r="AF128" s="83"/>
    </row>
    <row r="129" ht="15.75" customHeight="1">
      <c r="AB129" s="83">
        <v>8.0</v>
      </c>
      <c r="AC129" s="33" t="s">
        <v>1312</v>
      </c>
      <c r="AD129" s="83">
        <v>10.0</v>
      </c>
      <c r="AE129" s="83"/>
      <c r="AF129" s="83"/>
    </row>
    <row r="130" ht="15.75" customHeight="1">
      <c r="AB130" s="83">
        <v>9.0</v>
      </c>
      <c r="AC130" s="33" t="s">
        <v>1306</v>
      </c>
      <c r="AD130" s="83">
        <v>10.0</v>
      </c>
      <c r="AE130" s="83"/>
      <c r="AF130" s="83"/>
    </row>
    <row r="131" ht="15.75" customHeight="1">
      <c r="AD131" s="89">
        <f>SUM(AD122:AD130)</f>
        <v>200</v>
      </c>
    </row>
    <row r="132" ht="15.75" customHeight="1"/>
    <row r="133" ht="15.75" customHeight="1"/>
    <row r="134" ht="15.75" customHeight="1"/>
    <row r="135" ht="15.75" customHeight="1">
      <c r="AB135" s="74" t="s">
        <v>1290</v>
      </c>
      <c r="AE135" s="33"/>
      <c r="AF135" s="33"/>
    </row>
    <row r="136" ht="15.75" customHeight="1">
      <c r="AB136" s="94">
        <v>46236.0</v>
      </c>
      <c r="AE136" s="33"/>
      <c r="AF136" s="33"/>
    </row>
    <row r="137" ht="15.75" customHeight="1">
      <c r="AB137" s="80" t="s">
        <v>1266</v>
      </c>
      <c r="AC137" s="80" t="s">
        <v>1294</v>
      </c>
      <c r="AD137" s="80" t="s">
        <v>8</v>
      </c>
      <c r="AE137" s="81" t="s">
        <v>1295</v>
      </c>
      <c r="AF137" s="81" t="s">
        <v>1296</v>
      </c>
    </row>
    <row r="138" ht="15.75" customHeight="1">
      <c r="AB138" s="83">
        <v>1.0</v>
      </c>
      <c r="AC138" s="33" t="s">
        <v>1297</v>
      </c>
      <c r="AD138" s="95">
        <v>150.0</v>
      </c>
      <c r="AE138" s="95">
        <v>50.0</v>
      </c>
      <c r="AF138" s="95">
        <v>100.0</v>
      </c>
    </row>
    <row r="139" ht="15.75" customHeight="1">
      <c r="AB139" s="83">
        <v>2.0</v>
      </c>
      <c r="AC139" s="33" t="s">
        <v>1298</v>
      </c>
      <c r="AD139" s="83">
        <v>20.0</v>
      </c>
      <c r="AE139" s="83">
        <v>20.0</v>
      </c>
      <c r="AF139" s="83">
        <v>0.0</v>
      </c>
    </row>
    <row r="140" ht="15.75" customHeight="1">
      <c r="AB140" s="83">
        <v>3.0</v>
      </c>
      <c r="AC140" s="33" t="s">
        <v>1299</v>
      </c>
      <c r="AD140" s="83">
        <v>20.0</v>
      </c>
      <c r="AE140" s="83">
        <v>10.0</v>
      </c>
      <c r="AF140" s="83">
        <v>10.0</v>
      </c>
    </row>
    <row r="141" ht="15.75" customHeight="1">
      <c r="AB141" s="83">
        <v>4.0</v>
      </c>
      <c r="AC141" s="33" t="s">
        <v>1303</v>
      </c>
      <c r="AD141" s="83">
        <v>20.0</v>
      </c>
      <c r="AE141" s="83">
        <v>10.0</v>
      </c>
      <c r="AF141" s="83">
        <v>10.0</v>
      </c>
    </row>
    <row r="142" ht="15.75" customHeight="1">
      <c r="AB142" s="83">
        <v>5.0</v>
      </c>
      <c r="AC142" s="33" t="s">
        <v>1307</v>
      </c>
      <c r="AD142" s="83">
        <v>10.0</v>
      </c>
      <c r="AE142" s="83">
        <v>10.0</v>
      </c>
      <c r="AF142" s="83">
        <v>0.0</v>
      </c>
    </row>
    <row r="143" ht="15.75" customHeight="1">
      <c r="AB143" s="83">
        <v>6.0</v>
      </c>
      <c r="AC143" s="33" t="s">
        <v>1308</v>
      </c>
      <c r="AD143" s="83">
        <v>10.0</v>
      </c>
      <c r="AE143" s="83">
        <v>10.0</v>
      </c>
      <c r="AF143" s="83">
        <v>0.0</v>
      </c>
    </row>
    <row r="144" ht="15.75" customHeight="1">
      <c r="AB144" s="83">
        <v>7.0</v>
      </c>
      <c r="AC144" s="33" t="s">
        <v>1309</v>
      </c>
      <c r="AD144" s="83">
        <v>5.0</v>
      </c>
      <c r="AE144" s="83">
        <v>5.0</v>
      </c>
      <c r="AF144" s="83">
        <v>0.0</v>
      </c>
    </row>
    <row r="145" ht="15.75" customHeight="1">
      <c r="AB145" s="83">
        <v>8.0</v>
      </c>
      <c r="AC145" s="33" t="s">
        <v>1311</v>
      </c>
      <c r="AD145" s="95">
        <v>10.0</v>
      </c>
      <c r="AE145" s="83">
        <v>10.0</v>
      </c>
      <c r="AF145" s="95">
        <v>0.0</v>
      </c>
    </row>
    <row r="146" ht="15.75" customHeight="1">
      <c r="AB146" s="95">
        <v>9.0</v>
      </c>
      <c r="AC146" s="96" t="s">
        <v>1305</v>
      </c>
      <c r="AD146" s="95">
        <v>20.0</v>
      </c>
      <c r="AE146" s="95">
        <v>10.0</v>
      </c>
      <c r="AF146" s="95">
        <v>10.0</v>
      </c>
    </row>
    <row r="147" ht="15.75" customHeight="1">
      <c r="AB147" s="83"/>
      <c r="AC147" s="96"/>
      <c r="AD147" s="83"/>
      <c r="AE147" s="83"/>
      <c r="AF147" s="83"/>
    </row>
    <row r="148" ht="15.75" customHeight="1">
      <c r="AD148" s="89">
        <f>SUM(AD138:AD147)</f>
        <v>265</v>
      </c>
    </row>
    <row r="149" ht="15.75" customHeight="1"/>
    <row r="150" ht="15.75" customHeight="1"/>
    <row r="151" ht="15.75" customHeight="1">
      <c r="AB151" s="74" t="s">
        <v>1290</v>
      </c>
      <c r="AE151" s="33"/>
      <c r="AF151" s="33"/>
    </row>
    <row r="152" ht="15.75" customHeight="1">
      <c r="AB152" s="97" t="s">
        <v>1342</v>
      </c>
      <c r="AE152" s="33"/>
      <c r="AF152" s="33"/>
    </row>
    <row r="153" ht="15.75" customHeight="1">
      <c r="AB153" s="80" t="s">
        <v>1266</v>
      </c>
      <c r="AC153" s="80" t="s">
        <v>1294</v>
      </c>
      <c r="AD153" s="80" t="s">
        <v>8</v>
      </c>
      <c r="AE153" s="81" t="s">
        <v>1295</v>
      </c>
      <c r="AF153" s="81" t="s">
        <v>1296</v>
      </c>
    </row>
    <row r="154" ht="15.75" customHeight="1">
      <c r="AB154" s="83">
        <v>1.0</v>
      </c>
      <c r="AC154" s="33" t="s">
        <v>1297</v>
      </c>
      <c r="AD154" s="95">
        <v>100.0</v>
      </c>
      <c r="AE154" s="95">
        <v>50.0</v>
      </c>
      <c r="AF154" s="95">
        <v>50.0</v>
      </c>
    </row>
    <row r="155" ht="15.75" customHeight="1">
      <c r="AB155" s="83">
        <v>2.0</v>
      </c>
      <c r="AC155" s="33" t="s">
        <v>1298</v>
      </c>
      <c r="AD155" s="95">
        <v>40.0</v>
      </c>
      <c r="AE155" s="83">
        <v>20.0</v>
      </c>
      <c r="AF155" s="95">
        <v>20.0</v>
      </c>
    </row>
    <row r="156" ht="15.75" customHeight="1">
      <c r="AB156" s="83">
        <v>3.0</v>
      </c>
      <c r="AC156" s="33" t="s">
        <v>1299</v>
      </c>
      <c r="AD156" s="83">
        <v>20.0</v>
      </c>
      <c r="AE156" s="83">
        <v>10.0</v>
      </c>
      <c r="AF156" s="83">
        <v>10.0</v>
      </c>
    </row>
    <row r="157" ht="15.75" customHeight="1">
      <c r="AB157" s="83">
        <v>4.0</v>
      </c>
      <c r="AC157" s="33" t="s">
        <v>1303</v>
      </c>
      <c r="AD157" s="83">
        <v>20.0</v>
      </c>
      <c r="AE157" s="83">
        <v>10.0</v>
      </c>
      <c r="AF157" s="83">
        <v>10.0</v>
      </c>
    </row>
    <row r="158" ht="15.75" customHeight="1">
      <c r="AB158" s="83">
        <v>5.0</v>
      </c>
      <c r="AC158" s="33" t="s">
        <v>1307</v>
      </c>
      <c r="AD158" s="83">
        <v>10.0</v>
      </c>
      <c r="AE158" s="83">
        <v>10.0</v>
      </c>
      <c r="AF158" s="83">
        <v>0.0</v>
      </c>
    </row>
    <row r="159" ht="15.75" customHeight="1">
      <c r="AB159" s="83">
        <v>6.0</v>
      </c>
      <c r="AC159" s="96" t="s">
        <v>1301</v>
      </c>
      <c r="AD159" s="95">
        <v>20.0</v>
      </c>
      <c r="AE159" s="83">
        <v>10.0</v>
      </c>
      <c r="AF159" s="95">
        <v>10.0</v>
      </c>
    </row>
    <row r="160" ht="15.75" customHeight="1">
      <c r="AB160" s="83">
        <v>7.0</v>
      </c>
      <c r="AC160" s="96" t="s">
        <v>1343</v>
      </c>
      <c r="AD160" s="83">
        <v>5.0</v>
      </c>
      <c r="AE160" s="95">
        <v>0.0</v>
      </c>
      <c r="AF160" s="95">
        <v>5.0</v>
      </c>
    </row>
    <row r="161" ht="15.75" customHeight="1">
      <c r="AB161" s="83">
        <v>8.0</v>
      </c>
      <c r="AC161" s="33" t="s">
        <v>1311</v>
      </c>
      <c r="AD161" s="95">
        <v>10.0</v>
      </c>
      <c r="AE161" s="83">
        <v>10.0</v>
      </c>
      <c r="AF161" s="95">
        <v>0.0</v>
      </c>
    </row>
    <row r="162" ht="15.75" customHeight="1">
      <c r="AB162" s="95"/>
      <c r="AC162" s="96"/>
      <c r="AD162" s="95"/>
      <c r="AE162" s="95"/>
      <c r="AF162" s="95"/>
    </row>
    <row r="163" ht="15.75" customHeight="1">
      <c r="AB163" s="83"/>
      <c r="AC163" s="96"/>
      <c r="AD163" s="83"/>
      <c r="AE163" s="83"/>
      <c r="AF163" s="83"/>
    </row>
    <row r="164" ht="15.75" customHeight="1">
      <c r="AD164" s="89">
        <f>SUM(AD154:AD163)</f>
        <v>225</v>
      </c>
    </row>
    <row r="165" ht="15.75" customHeight="1"/>
    <row r="166" ht="15.75" customHeight="1"/>
    <row r="167" ht="15.75" customHeight="1">
      <c r="AB167" s="74" t="s">
        <v>1317</v>
      </c>
    </row>
    <row r="168" ht="15.75" customHeight="1">
      <c r="AB168" s="97" t="s">
        <v>1342</v>
      </c>
    </row>
    <row r="169" ht="15.75" customHeight="1">
      <c r="AB169" s="80" t="s">
        <v>1266</v>
      </c>
      <c r="AC169" s="80" t="s">
        <v>1294</v>
      </c>
      <c r="AD169" s="80" t="s">
        <v>8</v>
      </c>
    </row>
    <row r="170" ht="15.75" customHeight="1">
      <c r="AB170" s="83">
        <v>1.0</v>
      </c>
      <c r="AC170" s="33" t="s">
        <v>1309</v>
      </c>
      <c r="AD170" s="95">
        <v>30.0</v>
      </c>
    </row>
    <row r="171" ht="15.75" customHeight="1">
      <c r="AB171" s="83">
        <v>2.0</v>
      </c>
      <c r="AC171" s="33" t="s">
        <v>1307</v>
      </c>
      <c r="AD171" s="95">
        <v>50.0</v>
      </c>
    </row>
    <row r="172" ht="15.75" customHeight="1">
      <c r="AB172" s="83">
        <v>3.0</v>
      </c>
      <c r="AC172" s="96" t="s">
        <v>1344</v>
      </c>
      <c r="AD172" s="95">
        <v>10.0</v>
      </c>
    </row>
    <row r="173" ht="15.75" customHeight="1">
      <c r="AB173" s="83">
        <v>4.0</v>
      </c>
      <c r="AC173" s="33" t="s">
        <v>1303</v>
      </c>
      <c r="AD173" s="95">
        <v>20.0</v>
      </c>
    </row>
    <row r="174" ht="15.75" customHeight="1">
      <c r="AB174" s="83">
        <v>5.0</v>
      </c>
      <c r="AC174" s="33" t="s">
        <v>1308</v>
      </c>
      <c r="AD174" s="83">
        <v>10.0</v>
      </c>
    </row>
    <row r="175" ht="15.75" customHeight="1">
      <c r="AB175" s="83">
        <v>6.0</v>
      </c>
      <c r="AC175" s="33" t="s">
        <v>1312</v>
      </c>
      <c r="AD175" s="95">
        <v>20.0</v>
      </c>
    </row>
    <row r="176" ht="15.75" customHeight="1">
      <c r="AB176" s="83">
        <v>7.0</v>
      </c>
      <c r="AC176" s="33" t="s">
        <v>1311</v>
      </c>
      <c r="AD176" s="95">
        <v>10.0</v>
      </c>
    </row>
    <row r="177" ht="15.75" customHeight="1">
      <c r="AB177" s="83">
        <v>8.0</v>
      </c>
      <c r="AC177" s="33" t="s">
        <v>1299</v>
      </c>
      <c r="AD177" s="83">
        <v>10.0</v>
      </c>
    </row>
    <row r="178" ht="15.75" customHeight="1">
      <c r="AB178" s="83"/>
      <c r="AC178" s="33"/>
      <c r="AD178" s="83"/>
    </row>
    <row r="179" ht="15.75" customHeight="1">
      <c r="AD179" s="89">
        <f>SUM(AD170:AD178)</f>
        <v>160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9">
    <mergeCell ref="J76:L76"/>
    <mergeCell ref="N76:P76"/>
    <mergeCell ref="R76:T76"/>
    <mergeCell ref="A77:C77"/>
    <mergeCell ref="J77:L77"/>
    <mergeCell ref="N77:P77"/>
    <mergeCell ref="R77:T77"/>
    <mergeCell ref="A78:C78"/>
    <mergeCell ref="A86:C86"/>
    <mergeCell ref="A87:C87"/>
    <mergeCell ref="AB87:AD87"/>
    <mergeCell ref="AB88:AD88"/>
    <mergeCell ref="N92:P92"/>
    <mergeCell ref="N93:P93"/>
    <mergeCell ref="AB120:AD120"/>
    <mergeCell ref="AB135:AD135"/>
    <mergeCell ref="AB136:AD136"/>
    <mergeCell ref="AB151:AD151"/>
    <mergeCell ref="AB152:AD152"/>
    <mergeCell ref="AB167:AD167"/>
    <mergeCell ref="AB168:AD168"/>
    <mergeCell ref="A96:C96"/>
    <mergeCell ref="A97:C97"/>
    <mergeCell ref="AB103:AD103"/>
    <mergeCell ref="AB104:AD104"/>
    <mergeCell ref="A107:C107"/>
    <mergeCell ref="A108:C108"/>
    <mergeCell ref="AB119:AD119"/>
    <mergeCell ref="A4:C4"/>
    <mergeCell ref="R4:T4"/>
    <mergeCell ref="W4:Y4"/>
    <mergeCell ref="AH4:AJ4"/>
    <mergeCell ref="A5:C5"/>
    <mergeCell ref="R5:T5"/>
    <mergeCell ref="W5:Y5"/>
    <mergeCell ref="AH5:AJ5"/>
    <mergeCell ref="AB4:AD4"/>
    <mergeCell ref="AB5:AD5"/>
    <mergeCell ref="A18:C18"/>
    <mergeCell ref="E18:G18"/>
    <mergeCell ref="J18:L18"/>
    <mergeCell ref="A19:C19"/>
    <mergeCell ref="E19:G19"/>
    <mergeCell ref="J19:L19"/>
    <mergeCell ref="R23:T23"/>
    <mergeCell ref="W23:Y23"/>
    <mergeCell ref="AB23:AD23"/>
    <mergeCell ref="R24:T24"/>
    <mergeCell ref="W24:Y24"/>
    <mergeCell ref="AB24:AD24"/>
    <mergeCell ref="A29:C29"/>
    <mergeCell ref="A30:C30"/>
    <mergeCell ref="J34:L34"/>
    <mergeCell ref="J35:L35"/>
    <mergeCell ref="AB37:AD37"/>
    <mergeCell ref="R41:T41"/>
    <mergeCell ref="R42:T42"/>
    <mergeCell ref="A56:C56"/>
    <mergeCell ref="A57:C57"/>
    <mergeCell ref="J62:L62"/>
    <mergeCell ref="N62:P62"/>
    <mergeCell ref="J63:L63"/>
    <mergeCell ref="N63:P63"/>
    <mergeCell ref="A64:C64"/>
    <mergeCell ref="A65:C65"/>
    <mergeCell ref="A43:C43"/>
    <mergeCell ref="E43:G43"/>
    <mergeCell ref="A44:C44"/>
    <mergeCell ref="E44:G44"/>
    <mergeCell ref="J49:L49"/>
    <mergeCell ref="N49:P49"/>
    <mergeCell ref="J50:L50"/>
    <mergeCell ref="N50:P50"/>
    <mergeCell ref="AB54:AD54"/>
    <mergeCell ref="AB55:AD55"/>
    <mergeCell ref="R59:T59"/>
    <mergeCell ref="R60:T60"/>
    <mergeCell ref="AB72:AD72"/>
    <mergeCell ref="AB73:AD7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